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leaw\OneDrive\Documents\PhD Fall 2021 - Spring 2022\Project Data\SampleFiles\dissertation\inputs\"/>
    </mc:Choice>
  </mc:AlternateContent>
  <xr:revisionPtr revIDLastSave="0" documentId="13_ncr:1_{3122A240-944C-49F8-AE68-13C121DE2611}" xr6:coauthVersionLast="47" xr6:coauthVersionMax="47" xr10:uidLastSave="{00000000-0000-0000-0000-000000000000}"/>
  <bookViews>
    <workbookView xWindow="0" yWindow="0" windowWidth="11520" windowHeight="12360" xr2:uid="{AAE87C5A-906F-4F0E-AFDA-D1BB4AE23BE9}"/>
  </bookViews>
  <sheets>
    <sheet name="data" sheetId="1" r:id="rId1"/>
    <sheet name="PIN-Class Count" sheetId="4" r:id="rId2"/>
    <sheet name="Appeal Status" sheetId="5" r:id="rId3"/>
    <sheet name="Keypins" sheetId="6" r:id="rId4"/>
    <sheet name="rejected_appeals" sheetId="7" r:id="rId5"/>
  </sheets>
  <definedNames>
    <definedName name="_xlnm._FilterDatabase" localSheetId="0" hidden="1">data!$A$1:$J$319</definedName>
  </definedNames>
  <calcPr calcId="191029" refMode="R1C1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5" i="1" l="1"/>
  <c r="K141" i="1"/>
  <c r="K97" i="1"/>
  <c r="K296" i="1"/>
  <c r="K108" i="1"/>
  <c r="K91" i="1"/>
  <c r="K83" i="1"/>
  <c r="K168" i="1"/>
  <c r="K219" i="1"/>
  <c r="K2" i="1"/>
  <c r="K264" i="1"/>
  <c r="K292" i="1"/>
  <c r="K3" i="1"/>
  <c r="K170" i="1"/>
  <c r="K102" i="1"/>
  <c r="K190" i="1"/>
  <c r="K78" i="1"/>
  <c r="K95" i="1"/>
  <c r="K100" i="1"/>
  <c r="K105" i="1"/>
  <c r="K197" i="1"/>
  <c r="K174" i="1"/>
  <c r="K232" i="1"/>
  <c r="K4" i="1"/>
  <c r="K187" i="1"/>
  <c r="K5" i="1"/>
  <c r="K6" i="1"/>
  <c r="K193" i="1"/>
  <c r="K154" i="1"/>
  <c r="K7" i="1"/>
  <c r="K8" i="1"/>
  <c r="K121" i="1"/>
  <c r="K112" i="1"/>
  <c r="K113" i="1"/>
  <c r="K257" i="1"/>
  <c r="K9" i="1"/>
  <c r="K195" i="1"/>
  <c r="K160" i="1"/>
  <c r="K156" i="1"/>
  <c r="K10" i="1"/>
  <c r="K157" i="1"/>
  <c r="K241" i="1"/>
  <c r="K79" i="1"/>
  <c r="K286" i="1"/>
  <c r="K290" i="1"/>
  <c r="K11" i="1"/>
  <c r="K12" i="1"/>
  <c r="K129" i="1"/>
  <c r="K13" i="1"/>
  <c r="K14" i="1"/>
  <c r="K283" i="1"/>
  <c r="K158" i="1"/>
  <c r="K130" i="1"/>
  <c r="K176" i="1"/>
  <c r="K313" i="1"/>
  <c r="K239" i="1"/>
  <c r="K15" i="1"/>
  <c r="K284" i="1"/>
  <c r="K215" i="1"/>
  <c r="K194" i="1"/>
  <c r="K248" i="1"/>
  <c r="K81" i="1"/>
  <c r="K110" i="1"/>
  <c r="K221" i="1"/>
  <c r="K207" i="1"/>
  <c r="K300" i="1"/>
  <c r="K155" i="1"/>
  <c r="K16" i="1"/>
  <c r="K139" i="1"/>
  <c r="K119" i="1"/>
  <c r="K182" i="1"/>
  <c r="K242" i="1"/>
  <c r="K76" i="1"/>
  <c r="K17" i="1"/>
  <c r="K309" i="1"/>
  <c r="K18" i="1"/>
  <c r="K223" i="1"/>
  <c r="K149" i="1"/>
  <c r="K164" i="1"/>
  <c r="K143" i="1"/>
  <c r="K140" i="1"/>
  <c r="K125" i="1"/>
  <c r="K115" i="1"/>
  <c r="K94" i="1"/>
  <c r="K90" i="1"/>
  <c r="K107" i="1"/>
  <c r="K109" i="1"/>
  <c r="K116" i="1"/>
  <c r="K19" i="1"/>
  <c r="K20" i="1"/>
  <c r="K137" i="1"/>
  <c r="K303" i="1"/>
  <c r="K142" i="1"/>
  <c r="K103" i="1"/>
  <c r="K233" i="1"/>
  <c r="K114" i="1"/>
  <c r="K98" i="1"/>
  <c r="K89" i="1"/>
  <c r="K276" i="1"/>
  <c r="K150" i="1"/>
  <c r="K21" i="1"/>
  <c r="K192" i="1"/>
  <c r="K22" i="1"/>
  <c r="K23" i="1"/>
  <c r="K209" i="1"/>
  <c r="K220" i="1"/>
  <c r="K111" i="1"/>
  <c r="K136" i="1"/>
  <c r="K243" i="1"/>
  <c r="K236" i="1"/>
  <c r="K307" i="1"/>
  <c r="K88" i="1"/>
  <c r="K183" i="1"/>
  <c r="K128" i="1"/>
  <c r="K24" i="1"/>
  <c r="K308" i="1"/>
  <c r="K238" i="1"/>
  <c r="K25" i="1"/>
  <c r="K280" i="1"/>
  <c r="K26" i="1"/>
  <c r="K262" i="1"/>
  <c r="K122" i="1"/>
  <c r="K27" i="1"/>
  <c r="K151" i="1"/>
  <c r="K159" i="1"/>
  <c r="K86" i="1"/>
  <c r="K87" i="1"/>
  <c r="K84" i="1"/>
  <c r="K85" i="1"/>
  <c r="K28" i="1"/>
  <c r="K123" i="1"/>
  <c r="K118" i="1"/>
  <c r="K191" i="1"/>
  <c r="K82" i="1"/>
  <c r="K29" i="1"/>
  <c r="K165" i="1"/>
  <c r="K30" i="1"/>
  <c r="K304" i="1"/>
  <c r="K244" i="1"/>
  <c r="K234" i="1"/>
  <c r="K178" i="1"/>
  <c r="K227" i="1"/>
  <c r="K31" i="1"/>
  <c r="K218" i="1"/>
  <c r="K210" i="1"/>
  <c r="K175" i="1"/>
  <c r="K32" i="1"/>
  <c r="K120" i="1"/>
  <c r="K33" i="1"/>
  <c r="K161" i="1"/>
  <c r="K206" i="1"/>
  <c r="K196" i="1"/>
  <c r="K318" i="1"/>
  <c r="K34" i="1"/>
  <c r="K80" i="1"/>
  <c r="K153" i="1"/>
  <c r="K226" i="1"/>
  <c r="K189" i="1"/>
  <c r="K237" i="1"/>
  <c r="K294" i="1"/>
  <c r="K35" i="1"/>
  <c r="K252" i="1"/>
  <c r="K173" i="1"/>
  <c r="K36" i="1"/>
  <c r="K211" i="1"/>
  <c r="K185" i="1"/>
  <c r="K37" i="1"/>
  <c r="K152" i="1"/>
  <c r="K291" i="1"/>
  <c r="K138" i="1"/>
  <c r="K246" i="1"/>
  <c r="K38" i="1"/>
  <c r="K205" i="1"/>
  <c r="K293" i="1"/>
  <c r="K124" i="1"/>
  <c r="K167" i="1"/>
  <c r="K240" i="1"/>
  <c r="K77" i="1"/>
  <c r="K39" i="1"/>
  <c r="K235" i="1"/>
  <c r="K40" i="1"/>
  <c r="K202" i="1"/>
  <c r="K134" i="1"/>
  <c r="K41" i="1"/>
  <c r="K99" i="1"/>
  <c r="K106" i="1"/>
  <c r="K147" i="1"/>
  <c r="K213" i="1"/>
  <c r="K270" i="1"/>
  <c r="K310" i="1"/>
  <c r="K42" i="1"/>
  <c r="K43" i="1"/>
  <c r="K250" i="1"/>
  <c r="K228" i="1"/>
  <c r="K44" i="1"/>
  <c r="K179" i="1"/>
  <c r="K259" i="1"/>
  <c r="K314" i="1"/>
  <c r="K45" i="1"/>
  <c r="K145" i="1"/>
  <c r="K46" i="1"/>
  <c r="K47" i="1"/>
  <c r="K48" i="1"/>
  <c r="K96" i="1"/>
  <c r="K166" i="1"/>
  <c r="K126" i="1"/>
  <c r="K278" i="1"/>
  <c r="K305" i="1"/>
  <c r="K144" i="1"/>
  <c r="K201" i="1"/>
  <c r="K295" i="1"/>
  <c r="K260" i="1"/>
  <c r="K92" i="1"/>
  <c r="K49" i="1"/>
  <c r="K263" i="1"/>
  <c r="K50" i="1"/>
  <c r="K212" i="1"/>
  <c r="K51" i="1"/>
  <c r="K301" i="1"/>
  <c r="K52" i="1"/>
  <c r="K162" i="1"/>
  <c r="K131" i="1"/>
  <c r="K127" i="1"/>
  <c r="K271" i="1"/>
  <c r="K279" i="1"/>
  <c r="K249" i="1"/>
  <c r="K216" i="1"/>
  <c r="K214" i="1"/>
  <c r="K199" i="1"/>
  <c r="K230" i="1"/>
  <c r="K253" i="1"/>
  <c r="K245" i="1"/>
  <c r="K289" i="1"/>
  <c r="K299" i="1"/>
  <c r="K171" i="1"/>
  <c r="K285" i="1"/>
  <c r="K53" i="1"/>
  <c r="K148" i="1"/>
  <c r="K282" i="1"/>
  <c r="K203" i="1"/>
  <c r="K269" i="1"/>
  <c r="K312" i="1"/>
  <c r="K104" i="1"/>
  <c r="K163" i="1"/>
  <c r="K188" i="1"/>
  <c r="K172" i="1"/>
  <c r="K132" i="1"/>
  <c r="K180" i="1"/>
  <c r="K251" i="1"/>
  <c r="K272" i="1"/>
  <c r="K255" i="1"/>
  <c r="K254" i="1"/>
  <c r="K267" i="1"/>
  <c r="K265" i="1"/>
  <c r="K117" i="1"/>
  <c r="K258" i="1"/>
  <c r="K54" i="1"/>
  <c r="K55" i="1"/>
  <c r="K200" i="1"/>
  <c r="K135" i="1"/>
  <c r="K274" i="1"/>
  <c r="K186" i="1"/>
  <c r="K297" i="1"/>
  <c r="K184" i="1"/>
  <c r="K204" i="1"/>
  <c r="K229" i="1"/>
  <c r="K56" i="1"/>
  <c r="K57" i="1"/>
  <c r="K169" i="1"/>
  <c r="K58" i="1"/>
  <c r="K146" i="1"/>
  <c r="K266" i="1"/>
  <c r="K281" i="1"/>
  <c r="K222" i="1"/>
  <c r="K224" i="1"/>
  <c r="K59" i="1"/>
  <c r="K231" i="1"/>
  <c r="K275" i="1"/>
  <c r="K261" i="1"/>
  <c r="K217" i="1"/>
  <c r="K306" i="1"/>
  <c r="K317" i="1"/>
  <c r="K316" i="1"/>
  <c r="K315" i="1"/>
  <c r="K256" i="1"/>
  <c r="K311" i="1"/>
  <c r="K177" i="1"/>
  <c r="K273" i="1"/>
  <c r="K60" i="1"/>
  <c r="K61" i="1"/>
  <c r="K198" i="1"/>
  <c r="K62" i="1"/>
  <c r="K268" i="1"/>
  <c r="K181" i="1"/>
  <c r="K287" i="1"/>
  <c r="K277" i="1"/>
  <c r="K302" i="1"/>
  <c r="K208" i="1"/>
  <c r="K225" i="1"/>
  <c r="K247" i="1"/>
  <c r="K288" i="1"/>
  <c r="K298" i="1"/>
  <c r="K63" i="1"/>
  <c r="K101" i="1"/>
  <c r="K133" i="1"/>
  <c r="K93" i="1"/>
  <c r="K64" i="1"/>
  <c r="K65" i="1"/>
  <c r="K319" i="1"/>
  <c r="K66" i="1"/>
  <c r="K67" i="1"/>
  <c r="K68" i="1"/>
  <c r="K69" i="1"/>
  <c r="K70" i="1"/>
  <c r="K71" i="1"/>
  <c r="K72" i="1"/>
  <c r="K73" i="1"/>
  <c r="K74" i="1"/>
</calcChain>
</file>

<file path=xl/sharedStrings.xml><?xml version="1.0" encoding="utf-8"?>
<sst xmlns="http://schemas.openxmlformats.org/spreadsheetml/2006/main" count="2300" uniqueCount="659">
  <si>
    <t>AplDAP</t>
  </si>
  <si>
    <t>KeyPIN</t>
  </si>
  <si>
    <t>AplSts</t>
  </si>
  <si>
    <t>AplDec</t>
  </si>
  <si>
    <t>DecCde</t>
  </si>
  <si>
    <t>pin</t>
  </si>
  <si>
    <t>AsrTot</t>
  </si>
  <si>
    <t>BrdTot</t>
  </si>
  <si>
    <t>Class</t>
  </si>
  <si>
    <t>TaxCode</t>
  </si>
  <si>
    <t>2023-15-10175</t>
  </si>
  <si>
    <t>16-20-203-036-0000</t>
  </si>
  <si>
    <t xml:space="preserve">COMPLETE                                          </t>
  </si>
  <si>
    <t xml:space="preserve">CHANGE    </t>
  </si>
  <si>
    <t xml:space="preserve">2-ANALYSIS OF COMPARABLE PROPERTIES               </t>
  </si>
  <si>
    <t>2023-15-10470</t>
  </si>
  <si>
    <t>16-29-222-002-0000</t>
  </si>
  <si>
    <t>16-29-222-003-0000</t>
  </si>
  <si>
    <t>2023-15-10473</t>
  </si>
  <si>
    <t>16-21-422-032-0000</t>
  </si>
  <si>
    <t>2023-11-10939</t>
  </si>
  <si>
    <t>16-29-124-007-0000</t>
  </si>
  <si>
    <t>2023-11-10982</t>
  </si>
  <si>
    <t>16-31-422-017-0000</t>
  </si>
  <si>
    <t xml:space="preserve">NO CHANGE </t>
  </si>
  <si>
    <t>2023-11-11051</t>
  </si>
  <si>
    <t>16-19-225-045-0000</t>
  </si>
  <si>
    <t>2023-11-11052</t>
  </si>
  <si>
    <t>16-30-105-007-0000</t>
  </si>
  <si>
    <t>2023-11-11053</t>
  </si>
  <si>
    <t>16-30-408-040-0000</t>
  </si>
  <si>
    <t>2023-11-11089</t>
  </si>
  <si>
    <t>16-31-123-023-0000</t>
  </si>
  <si>
    <t>2023-15-10728</t>
  </si>
  <si>
    <t>16-21-410-025-0000</t>
  </si>
  <si>
    <t>2023-15-10861</t>
  </si>
  <si>
    <t>16-29-106-033-0000</t>
  </si>
  <si>
    <t>2023-33-11152</t>
  </si>
  <si>
    <t>15-01-409-011-0000</t>
  </si>
  <si>
    <t>2023-27-14951</t>
  </si>
  <si>
    <t>16-05-120-001-0000</t>
  </si>
  <si>
    <t>2023-34-11606</t>
  </si>
  <si>
    <t>15-35-407-001-0000</t>
  </si>
  <si>
    <t>2023-33-11261</t>
  </si>
  <si>
    <t>15-01-211-069-0000</t>
  </si>
  <si>
    <t xml:space="preserve">1-COST, INCOME, MARKET DATA, APPRAISAL            </t>
  </si>
  <si>
    <t>2023-15-11340</t>
  </si>
  <si>
    <t>16-28-213-003-0000</t>
  </si>
  <si>
    <t>2023-15-11389</t>
  </si>
  <si>
    <t>16-28-217-013-0000</t>
  </si>
  <si>
    <t>2023-11-12161</t>
  </si>
  <si>
    <t>16-30-111-013-0000</t>
  </si>
  <si>
    <t>2023-11-12162</t>
  </si>
  <si>
    <t>16-19-415-037-0000</t>
  </si>
  <si>
    <t>2023-11-12227</t>
  </si>
  <si>
    <t>16-19-310-012-0000</t>
  </si>
  <si>
    <t>2023-11-12233</t>
  </si>
  <si>
    <t>16-19-431-010-0000</t>
  </si>
  <si>
    <t>2023-15-11544</t>
  </si>
  <si>
    <t>16-22-102-001-0000</t>
  </si>
  <si>
    <t>16-22-102-008-0000</t>
  </si>
  <si>
    <t>16-22-102-002-0000</t>
  </si>
  <si>
    <t>16-22-102-006-0000</t>
  </si>
  <si>
    <t>16-22-102-005-0000</t>
  </si>
  <si>
    <t>16-22-102-003-0000</t>
  </si>
  <si>
    <t>16-22-102-004-0000</t>
  </si>
  <si>
    <t>16-22-102-007-0000</t>
  </si>
  <si>
    <t>2023-15-11736</t>
  </si>
  <si>
    <t>16-21-403-032-0000</t>
  </si>
  <si>
    <t>2023-15-11743</t>
  </si>
  <si>
    <t>16-22-306-034-0000</t>
  </si>
  <si>
    <t>2023-11-12513</t>
  </si>
  <si>
    <t>16-19-426-002-0000</t>
  </si>
  <si>
    <t>2023-11-12524</t>
  </si>
  <si>
    <t>16-30-309-023-0000</t>
  </si>
  <si>
    <t>2023-11-12556</t>
  </si>
  <si>
    <t>16-31-301-005-0000</t>
  </si>
  <si>
    <t>2023-11-12592</t>
  </si>
  <si>
    <t>16-32-309-030-0000</t>
  </si>
  <si>
    <t>2023-11-12593</t>
  </si>
  <si>
    <t>16-32-118-002-0000</t>
  </si>
  <si>
    <t>2023-11-12610</t>
  </si>
  <si>
    <t>16-31-232-009-0000</t>
  </si>
  <si>
    <t>2023-11-12618</t>
  </si>
  <si>
    <t>16-20-109-026-0000</t>
  </si>
  <si>
    <t>2023-11-12619</t>
  </si>
  <si>
    <t>16-30-402-030-0000</t>
  </si>
  <si>
    <t>2023-11-12642</t>
  </si>
  <si>
    <t>16-19-225-011-0000</t>
  </si>
  <si>
    <t>2023-11-12646</t>
  </si>
  <si>
    <t>16-30-225-023-0000</t>
  </si>
  <si>
    <t>2023-11-12648</t>
  </si>
  <si>
    <t>16-31-424-057-0000</t>
  </si>
  <si>
    <t>2023-11-12685</t>
  </si>
  <si>
    <t>16-31-331-003-0000</t>
  </si>
  <si>
    <t>2023-11-12688</t>
  </si>
  <si>
    <t>16-19-309-019-0000</t>
  </si>
  <si>
    <t>2023-11-12992</t>
  </si>
  <si>
    <t>16-30-413-011-0000</t>
  </si>
  <si>
    <t>2023-11-13072</t>
  </si>
  <si>
    <t>16-31-131-010-0000</t>
  </si>
  <si>
    <t>2023-15-12027</t>
  </si>
  <si>
    <t>16-28-414-003-0000</t>
  </si>
  <si>
    <t>2023-15-12037</t>
  </si>
  <si>
    <t>16-20-129-019-0000</t>
  </si>
  <si>
    <t>2023-15-12042</t>
  </si>
  <si>
    <t>16-32-305-053-0000</t>
  </si>
  <si>
    <t>2023-15-12043</t>
  </si>
  <si>
    <t>16-28-128-034-0000</t>
  </si>
  <si>
    <t>2023-15-12044</t>
  </si>
  <si>
    <t>16-22-302-022-0000</t>
  </si>
  <si>
    <t>2023-15-12049</t>
  </si>
  <si>
    <t>16-33-111-014-0000</t>
  </si>
  <si>
    <t>2023-15-12050</t>
  </si>
  <si>
    <t>16-29-222-036-0000</t>
  </si>
  <si>
    <t>2023-15-12052</t>
  </si>
  <si>
    <t>16-29-227-030-0000</t>
  </si>
  <si>
    <t>2023-15-12060</t>
  </si>
  <si>
    <t>16-20-105-027-0000</t>
  </si>
  <si>
    <t>2023-15-12061</t>
  </si>
  <si>
    <t>16-29-201-031-0000</t>
  </si>
  <si>
    <t>2023-15-12062</t>
  </si>
  <si>
    <t>16-29-120-035-0000</t>
  </si>
  <si>
    <t>2023-15-12063</t>
  </si>
  <si>
    <t>16-20-411-012-0000</t>
  </si>
  <si>
    <t>2023-11-13098</t>
  </si>
  <si>
    <t>16-31-403-026-0000</t>
  </si>
  <si>
    <t>2023-15-12065</t>
  </si>
  <si>
    <t>16-29-209-029-0000</t>
  </si>
  <si>
    <t>2023-15-12067</t>
  </si>
  <si>
    <t>16-29-221-005-0000</t>
  </si>
  <si>
    <t>2023-15-12070</t>
  </si>
  <si>
    <t>16-29-304-005-0000</t>
  </si>
  <si>
    <t>2023-15-12071</t>
  </si>
  <si>
    <t>16-29-207-028-0000</t>
  </si>
  <si>
    <t>2023-15-12077</t>
  </si>
  <si>
    <t>16-29-213-028-0000</t>
  </si>
  <si>
    <t>2023-15-12078</t>
  </si>
  <si>
    <t>16-21-404-013-0000</t>
  </si>
  <si>
    <t>2023-15-12079</t>
  </si>
  <si>
    <t>16-32-217-021-0000</t>
  </si>
  <si>
    <t>2023-15-12084</t>
  </si>
  <si>
    <t>16-20-415-007-0000</t>
  </si>
  <si>
    <t>2023-15-12088</t>
  </si>
  <si>
    <t>16-32-409-014-0000</t>
  </si>
  <si>
    <t>2023-11-13099</t>
  </si>
  <si>
    <t>16-32-302-031-0000</t>
  </si>
  <si>
    <t>2023-15-12090</t>
  </si>
  <si>
    <t>16-21-419-006-0000</t>
  </si>
  <si>
    <t>2023-11-13100</t>
  </si>
  <si>
    <t>16-20-117-038-0000</t>
  </si>
  <si>
    <t>2023-15-12094</t>
  </si>
  <si>
    <t>16-20-314-008-0000</t>
  </si>
  <si>
    <t>2023-15-12096</t>
  </si>
  <si>
    <t>16-20-413-039-0000</t>
  </si>
  <si>
    <t>2023-15-12098</t>
  </si>
  <si>
    <t>16-28-113-014-0000</t>
  </si>
  <si>
    <t>2023-15-12099</t>
  </si>
  <si>
    <t>16-28-128-014-0000</t>
  </si>
  <si>
    <t>2023-15-12100</t>
  </si>
  <si>
    <t>16-20-426-020-0000</t>
  </si>
  <si>
    <t>2023-15-12101</t>
  </si>
  <si>
    <t>16-21-101-022-0000</t>
  </si>
  <si>
    <t>2023-15-12102</t>
  </si>
  <si>
    <t>16-21-210-041-0000</t>
  </si>
  <si>
    <t>2023-15-12103</t>
  </si>
  <si>
    <t>16-20-217-004-0000</t>
  </si>
  <si>
    <t>2023-15-12105</t>
  </si>
  <si>
    <t>16-21-209-002-0000</t>
  </si>
  <si>
    <t>2023-15-12107</t>
  </si>
  <si>
    <t>16-32-408-040-0000</t>
  </si>
  <si>
    <t>2023-15-12108</t>
  </si>
  <si>
    <t>16-21-200-025-0000</t>
  </si>
  <si>
    <t>2023-15-12109</t>
  </si>
  <si>
    <t>16-28-117-002-0000</t>
  </si>
  <si>
    <t>2023-11-13101</t>
  </si>
  <si>
    <t>16-30-310-018-0000</t>
  </si>
  <si>
    <t>2023-15-12111</t>
  </si>
  <si>
    <t>16-20-205-025-0000</t>
  </si>
  <si>
    <t>2023-15-12113</t>
  </si>
  <si>
    <t>16-20-231-018-0000</t>
  </si>
  <si>
    <t>2023-15-12114</t>
  </si>
  <si>
    <t>16-20-431-003-0000</t>
  </si>
  <si>
    <t>2023-15-12115</t>
  </si>
  <si>
    <t>16-21-423-017-0000</t>
  </si>
  <si>
    <t>2023-15-12116</t>
  </si>
  <si>
    <t>16-20-413-011-0000</t>
  </si>
  <si>
    <t>2023-15-12117</t>
  </si>
  <si>
    <t>16-20-420-027-0000</t>
  </si>
  <si>
    <t>2023-15-12119</t>
  </si>
  <si>
    <t>16-21-218-017-0000</t>
  </si>
  <si>
    <t>2023-15-12120</t>
  </si>
  <si>
    <t>16-28-119-002-0000</t>
  </si>
  <si>
    <t>2023-15-12122</t>
  </si>
  <si>
    <t>16-20-203-029-0000</t>
  </si>
  <si>
    <t>2023-15-12124</t>
  </si>
  <si>
    <t>16-29-404-035-0000</t>
  </si>
  <si>
    <t>2023-15-12125</t>
  </si>
  <si>
    <t>16-29-220-010-0000</t>
  </si>
  <si>
    <t>2023-15-12126</t>
  </si>
  <si>
    <t>16-32-419-003-0000</t>
  </si>
  <si>
    <t>2023-15-12130</t>
  </si>
  <si>
    <t>16-20-203-020-0000</t>
  </si>
  <si>
    <t>2023-15-12132</t>
  </si>
  <si>
    <t>16-28-105-031-0000</t>
  </si>
  <si>
    <t>2023-15-12134</t>
  </si>
  <si>
    <t>16-20-219-002-0000</t>
  </si>
  <si>
    <t>2023-15-12137</t>
  </si>
  <si>
    <t>16-29-208-004-0000</t>
  </si>
  <si>
    <t>2023-15-12139</t>
  </si>
  <si>
    <t>16-20-313-030-0000</t>
  </si>
  <si>
    <t>2023-15-12143</t>
  </si>
  <si>
    <t>16-28-212-025-0000</t>
  </si>
  <si>
    <t>2023-15-12150</t>
  </si>
  <si>
    <t>16-20-410-012-0000</t>
  </si>
  <si>
    <t>2023-15-12151</t>
  </si>
  <si>
    <t>16-29-215-016-0000</t>
  </si>
  <si>
    <t>2023-15-12152</t>
  </si>
  <si>
    <t>16-28-110-024-0000</t>
  </si>
  <si>
    <t>2023-15-12155</t>
  </si>
  <si>
    <t>16-22-100-030-0000</t>
  </si>
  <si>
    <t>2023-15-12159</t>
  </si>
  <si>
    <t>16-28-429-003-0000</t>
  </si>
  <si>
    <t>2023-15-12164</t>
  </si>
  <si>
    <t>16-33-311-030-0000</t>
  </si>
  <si>
    <t>2023-15-12166</t>
  </si>
  <si>
    <t>16-21-407-001-0000</t>
  </si>
  <si>
    <t>2023-15-12169</t>
  </si>
  <si>
    <t>16-29-214-022-0000</t>
  </si>
  <si>
    <t>2023-15-12173</t>
  </si>
  <si>
    <t>16-21-418-028-0000</t>
  </si>
  <si>
    <t>2023-15-12175</t>
  </si>
  <si>
    <t>16-21-425-005-0000</t>
  </si>
  <si>
    <t>2023-15-12176</t>
  </si>
  <si>
    <t>16-28-212-010-0000</t>
  </si>
  <si>
    <t>2023-15-12183</t>
  </si>
  <si>
    <t>16-21-412-027-0000</t>
  </si>
  <si>
    <t>2023-15-12186</t>
  </si>
  <si>
    <t>16-29-204-029-0000</t>
  </si>
  <si>
    <t>2023-15-12189</t>
  </si>
  <si>
    <t>16-21-205-024-0000</t>
  </si>
  <si>
    <t>2023-15-12190</t>
  </si>
  <si>
    <t>16-21-205-045-0000</t>
  </si>
  <si>
    <t>2023-15-12194</t>
  </si>
  <si>
    <t>16-28-115-003-0000</t>
  </si>
  <si>
    <t>2023-15-12196</t>
  </si>
  <si>
    <t>16-33-216-021-0000</t>
  </si>
  <si>
    <t>2023-15-12209</t>
  </si>
  <si>
    <t>16-33-208-012-0000</t>
  </si>
  <si>
    <t>2023-15-12211</t>
  </si>
  <si>
    <t>16-28-419-008-0000</t>
  </si>
  <si>
    <t>2023-15-12212</t>
  </si>
  <si>
    <t>16-32-429-055-0000</t>
  </si>
  <si>
    <t>2023-15-12221</t>
  </si>
  <si>
    <t>16-29-404-015-0000</t>
  </si>
  <si>
    <t>2023-15-12232</t>
  </si>
  <si>
    <t>16-20-430-014-0000</t>
  </si>
  <si>
    <t>2023-15-12238</t>
  </si>
  <si>
    <t>16-20-204-016-0000</t>
  </si>
  <si>
    <t>2023-15-12239</t>
  </si>
  <si>
    <t>16-20-230-005-0000</t>
  </si>
  <si>
    <t>2023-15-12247</t>
  </si>
  <si>
    <t>16-20-221-009-0000</t>
  </si>
  <si>
    <t>2023-15-12248</t>
  </si>
  <si>
    <t>16-33-310-010-0000</t>
  </si>
  <si>
    <t>2023-15-12249</t>
  </si>
  <si>
    <t>16-28-128-006-0000</t>
  </si>
  <si>
    <t>2023-15-12257</t>
  </si>
  <si>
    <t>16-33-102-053-0000</t>
  </si>
  <si>
    <t>2023-15-12258</t>
  </si>
  <si>
    <t>16-21-424-016-0000</t>
  </si>
  <si>
    <t>2023-15-12264</t>
  </si>
  <si>
    <t>16-20-203-034-0000</t>
  </si>
  <si>
    <t>2023-15-12266</t>
  </si>
  <si>
    <t>16-33-304-022-0000</t>
  </si>
  <si>
    <t>2023-15-12268</t>
  </si>
  <si>
    <t>16-21-400-028-0000</t>
  </si>
  <si>
    <t>2023-15-12275</t>
  </si>
  <si>
    <t>16-28-108-014-0000</t>
  </si>
  <si>
    <t>2023-15-12276</t>
  </si>
  <si>
    <t>16-28-105-035-0000</t>
  </si>
  <si>
    <t>2023-15-12279</t>
  </si>
  <si>
    <t>16-29-120-024-0000</t>
  </si>
  <si>
    <t>2023-15-12280</t>
  </si>
  <si>
    <t>16-32-400-033-0000</t>
  </si>
  <si>
    <t>2023-15-12294</t>
  </si>
  <si>
    <t>16-28-111-009-0000</t>
  </si>
  <si>
    <t>2023-15-12295</t>
  </si>
  <si>
    <t>16-28-114-002-0000</t>
  </si>
  <si>
    <t>2023-15-12303</t>
  </si>
  <si>
    <t>16-20-305-024-0000</t>
  </si>
  <si>
    <t>2023-15-12305</t>
  </si>
  <si>
    <t>16-33-203-020-0000</t>
  </si>
  <si>
    <t>2023-15-12311</t>
  </si>
  <si>
    <t>16-29-115-022-0000</t>
  </si>
  <si>
    <t>2023-15-12317</t>
  </si>
  <si>
    <t>16-29-202-034-0000</t>
  </si>
  <si>
    <t>2023-15-12319</t>
  </si>
  <si>
    <t>16-22-308-015-0000</t>
  </si>
  <si>
    <t>2023-15-12323</t>
  </si>
  <si>
    <t>16-29-401-018-0000</t>
  </si>
  <si>
    <t>2023-15-12333</t>
  </si>
  <si>
    <t>16-20-420-040-0000</t>
  </si>
  <si>
    <t>2023-15-12334</t>
  </si>
  <si>
    <t>16-21-410-015-0000</t>
  </si>
  <si>
    <t>2023-15-12335</t>
  </si>
  <si>
    <t>16-21-225-015-0000</t>
  </si>
  <si>
    <t>2023-15-12336</t>
  </si>
  <si>
    <t>16-20-313-024-0000</t>
  </si>
  <si>
    <t>2023-15-12339</t>
  </si>
  <si>
    <t>16-21-425-007-0000</t>
  </si>
  <si>
    <t>2023-15-12347</t>
  </si>
  <si>
    <t>16-20-431-007-0000</t>
  </si>
  <si>
    <t>2023-15-12351</t>
  </si>
  <si>
    <t>16-33-320-013-0000</t>
  </si>
  <si>
    <t>2023-15-12360</t>
  </si>
  <si>
    <t>16-21-100-010-0000</t>
  </si>
  <si>
    <t>2023-15-12372</t>
  </si>
  <si>
    <t>16-20-423-027-0000</t>
  </si>
  <si>
    <t>2023-15-12404</t>
  </si>
  <si>
    <t>16-29-214-037-0000</t>
  </si>
  <si>
    <t>2023-15-12406</t>
  </si>
  <si>
    <t>16-29-106-019-0000</t>
  </si>
  <si>
    <t>2023-15-12407</t>
  </si>
  <si>
    <t>16-33-329-030-0000</t>
  </si>
  <si>
    <t>2023-15-12426</t>
  </si>
  <si>
    <t>16-29-227-003-0000</t>
  </si>
  <si>
    <t>2023-15-12428</t>
  </si>
  <si>
    <t>16-29-203-017-0000</t>
  </si>
  <si>
    <t>2023-15-12464</t>
  </si>
  <si>
    <t>16-28-104-018-0000</t>
  </si>
  <si>
    <t>2023-15-12483</t>
  </si>
  <si>
    <t>16-32-417-024-0000</t>
  </si>
  <si>
    <t>2023-15-12485</t>
  </si>
  <si>
    <t>16-29-402-003-0000</t>
  </si>
  <si>
    <t>2023-15-12488</t>
  </si>
  <si>
    <t>16-32-219-010-0000</t>
  </si>
  <si>
    <t>2023-15-12489</t>
  </si>
  <si>
    <t>16-33-110-046-0000</t>
  </si>
  <si>
    <t>2023-11-13105</t>
  </si>
  <si>
    <t>16-30-217-027-0000</t>
  </si>
  <si>
    <t>2023-15-12497</t>
  </si>
  <si>
    <t>16-20-224-019-0000</t>
  </si>
  <si>
    <t>2023-15-12498</t>
  </si>
  <si>
    <t>16-21-305-022-0000</t>
  </si>
  <si>
    <t>2023-15-12504</t>
  </si>
  <si>
    <t>16-20-419-034-0000</t>
  </si>
  <si>
    <t>2023-15-12505</t>
  </si>
  <si>
    <t>16-20-326-017-0000</t>
  </si>
  <si>
    <t>2023-15-12506</t>
  </si>
  <si>
    <t>16-21-406-012-0000</t>
  </si>
  <si>
    <t>2023-11-13106</t>
  </si>
  <si>
    <t>16-20-300-040-0000</t>
  </si>
  <si>
    <t>2023-15-12515</t>
  </si>
  <si>
    <t>16-28-224-039-0000</t>
  </si>
  <si>
    <t>2023-15-12517</t>
  </si>
  <si>
    <t>16-28-110-033-0000</t>
  </si>
  <si>
    <t>2023-15-12519</t>
  </si>
  <si>
    <t>16-21-423-002-0000</t>
  </si>
  <si>
    <t>2023-15-12520</t>
  </si>
  <si>
    <t>16-29-222-029-0000</t>
  </si>
  <si>
    <t>2023-15-12521</t>
  </si>
  <si>
    <t>16-21-417-030-0000</t>
  </si>
  <si>
    <t>2023-15-12522</t>
  </si>
  <si>
    <t>16-21-305-007-0000</t>
  </si>
  <si>
    <t>2023-15-12523</t>
  </si>
  <si>
    <t>16-28-122-011-0000</t>
  </si>
  <si>
    <t>2023-15-12524</t>
  </si>
  <si>
    <t>16-33-302-041-0000</t>
  </si>
  <si>
    <t>2023-15-12525</t>
  </si>
  <si>
    <t>16-32-216-007-0000</t>
  </si>
  <si>
    <t>2023-15-12526</t>
  </si>
  <si>
    <t>16-20-213-001-0000</t>
  </si>
  <si>
    <t>2023-11-13107</t>
  </si>
  <si>
    <t>16-30-409-017-0000</t>
  </si>
  <si>
    <t>2023-15-12527</t>
  </si>
  <si>
    <t>16-28-206-041-1001</t>
  </si>
  <si>
    <t xml:space="preserve">3-NO-COMPLY W BOR RULES, LACK OF EVIDENCE         </t>
  </si>
  <si>
    <t>2023-15-12528</t>
  </si>
  <si>
    <t>16-28-310-033-0000</t>
  </si>
  <si>
    <t>2023-15-12530</t>
  </si>
  <si>
    <t>16-28-216-018-0000</t>
  </si>
  <si>
    <t>2023-15-12531</t>
  </si>
  <si>
    <t>16-21-412-029-0000</t>
  </si>
  <si>
    <t>2023-15-12532</t>
  </si>
  <si>
    <t>16-20-419-040-0000</t>
  </si>
  <si>
    <t>2023-15-12533</t>
  </si>
  <si>
    <t>16-28-109-025-0000</t>
  </si>
  <si>
    <t>2023-15-12537</t>
  </si>
  <si>
    <t>16-20-404-023-0000</t>
  </si>
  <si>
    <t>2023-15-12538</t>
  </si>
  <si>
    <t>16-22-304-013-0000</t>
  </si>
  <si>
    <t>2023-15-12539</t>
  </si>
  <si>
    <t>16-28-113-024-0000</t>
  </si>
  <si>
    <t>2023-15-12541</t>
  </si>
  <si>
    <t>16-29-215-008-0000</t>
  </si>
  <si>
    <t>2023-15-12542</t>
  </si>
  <si>
    <t>16-20-218-025-0000</t>
  </si>
  <si>
    <t>2023-15-12543</t>
  </si>
  <si>
    <t>16-33-206-027-0000</t>
  </si>
  <si>
    <t>2023-15-12544</t>
  </si>
  <si>
    <t>16-22-306-027-0000</t>
  </si>
  <si>
    <t>2023-15-12548</t>
  </si>
  <si>
    <t>16-33-305-038-0000</t>
  </si>
  <si>
    <t>2023-15-12549</t>
  </si>
  <si>
    <t>16-32-305-004-0000</t>
  </si>
  <si>
    <t>2023-15-12550</t>
  </si>
  <si>
    <t>16-22-302-032-0000</t>
  </si>
  <si>
    <t>2023-15-12551</t>
  </si>
  <si>
    <t>16-21-407-004-0000</t>
  </si>
  <si>
    <t>2023-15-12552</t>
  </si>
  <si>
    <t>16-21-407-015-0000</t>
  </si>
  <si>
    <t>2023-15-12556</t>
  </si>
  <si>
    <t>16-21-221-035-0000</t>
  </si>
  <si>
    <t>2023-15-12558</t>
  </si>
  <si>
    <t>16-21-216-014-0000</t>
  </si>
  <si>
    <t>2023-15-12559</t>
  </si>
  <si>
    <t>16-32-418-033-0000</t>
  </si>
  <si>
    <t>2023-15-12562</t>
  </si>
  <si>
    <t>16-20-208-020-0000</t>
  </si>
  <si>
    <t>2023-15-12563</t>
  </si>
  <si>
    <t>16-20-306-038-0000</t>
  </si>
  <si>
    <t>2023-15-12567</t>
  </si>
  <si>
    <t>16-33-201-027-0000</t>
  </si>
  <si>
    <t>2023-15-12569</t>
  </si>
  <si>
    <t>16-33-302-040-0000</t>
  </si>
  <si>
    <t>2023-15-12573</t>
  </si>
  <si>
    <t>16-32-220-096-0000</t>
  </si>
  <si>
    <t>2023-15-12576</t>
  </si>
  <si>
    <t>16-20-430-001-0000</t>
  </si>
  <si>
    <t>2023-15-12579</t>
  </si>
  <si>
    <t>16-20-120-028-0000</t>
  </si>
  <si>
    <t>2023-15-12588</t>
  </si>
  <si>
    <t>16-32-135-053-0000</t>
  </si>
  <si>
    <t>2023-15-12592</t>
  </si>
  <si>
    <t>16-20-400-001-0000</t>
  </si>
  <si>
    <t>2023-15-12593</t>
  </si>
  <si>
    <t>16-29-404-008-0000</t>
  </si>
  <si>
    <t>2023-15-12599</t>
  </si>
  <si>
    <t>16-20-335-021-0000</t>
  </si>
  <si>
    <t>2023-15-12607</t>
  </si>
  <si>
    <t>16-29-114-036-0000</t>
  </si>
  <si>
    <t>2023-11-13160</t>
  </si>
  <si>
    <t>16-30-408-023-0000</t>
  </si>
  <si>
    <t>2023-11-13174</t>
  </si>
  <si>
    <t>16-29-309-016-0000</t>
  </si>
  <si>
    <t>2023-11-13183</t>
  </si>
  <si>
    <t>16-30-227-005-0000</t>
  </si>
  <si>
    <t>2023-11-13203</t>
  </si>
  <si>
    <t>16-31-323-008-0000</t>
  </si>
  <si>
    <t>2023-15-12611</t>
  </si>
  <si>
    <t>16-32-422-008-0000</t>
  </si>
  <si>
    <t>2023-15-12612</t>
  </si>
  <si>
    <t>16-29-226-004-0000</t>
  </si>
  <si>
    <t>2023-15-12613</t>
  </si>
  <si>
    <t>16-20-404-011-0000</t>
  </si>
  <si>
    <t>2023-15-12614</t>
  </si>
  <si>
    <t>16-32-420-028-0000</t>
  </si>
  <si>
    <t>2023-15-12615</t>
  </si>
  <si>
    <t>16-28-112-006-0000</t>
  </si>
  <si>
    <t>2023-15-12616</t>
  </si>
  <si>
    <t>16-20-405-032-0000</t>
  </si>
  <si>
    <t>2023-15-12618</t>
  </si>
  <si>
    <t>16-21-429-017-0000</t>
  </si>
  <si>
    <t>2023-15-12620</t>
  </si>
  <si>
    <t>16-33-211-019-0000</t>
  </si>
  <si>
    <t>2023-15-12621</t>
  </si>
  <si>
    <t>16-29-314-011-0000</t>
  </si>
  <si>
    <t>2023-15-12623</t>
  </si>
  <si>
    <t>16-29-120-009-0000</t>
  </si>
  <si>
    <t>2023-15-12626</t>
  </si>
  <si>
    <t>16-20-106-055-0000</t>
  </si>
  <si>
    <t>2023-15-12627</t>
  </si>
  <si>
    <t>16-29-208-018-0000</t>
  </si>
  <si>
    <t>2023-15-12629</t>
  </si>
  <si>
    <t>16-32-421-014-0000</t>
  </si>
  <si>
    <t>2023-15-12636</t>
  </si>
  <si>
    <t>16-20-409-009-0000</t>
  </si>
  <si>
    <t>2023-15-12637</t>
  </si>
  <si>
    <t>16-29-208-005-0000</t>
  </si>
  <si>
    <t>2023-15-12638</t>
  </si>
  <si>
    <t>16-32-401-021-0000</t>
  </si>
  <si>
    <t>2023-15-12639</t>
  </si>
  <si>
    <t>16-20-418-016-0000</t>
  </si>
  <si>
    <t>2023-15-12643</t>
  </si>
  <si>
    <t>16-21-100-038-0000</t>
  </si>
  <si>
    <t>2023-15-12646</t>
  </si>
  <si>
    <t>16-29-123-012-0000</t>
  </si>
  <si>
    <t>2023-15-12647</t>
  </si>
  <si>
    <t>16-29-123-027-0000</t>
  </si>
  <si>
    <t>2023-15-12651</t>
  </si>
  <si>
    <t>16-32-409-040-0000</t>
  </si>
  <si>
    <t>2023-15-12652</t>
  </si>
  <si>
    <t>16-29-211-006-0000</t>
  </si>
  <si>
    <t>2023-15-12658</t>
  </si>
  <si>
    <t>16-21-303-006-0000</t>
  </si>
  <si>
    <t>2023-15-12659</t>
  </si>
  <si>
    <t>16-20-227-042-0000</t>
  </si>
  <si>
    <t>2023-15-12660</t>
  </si>
  <si>
    <t>16-20-227-041-0000</t>
  </si>
  <si>
    <t>2023-15-12664</t>
  </si>
  <si>
    <t>16-21-422-031-0000</t>
  </si>
  <si>
    <t>2023-15-12665</t>
  </si>
  <si>
    <t>16-28-420-011-0000</t>
  </si>
  <si>
    <t>2023-15-12666</t>
  </si>
  <si>
    <t>16-21-411-033-0000</t>
  </si>
  <si>
    <t>2023-15-12669</t>
  </si>
  <si>
    <t>16-21-224-038-0000</t>
  </si>
  <si>
    <t>2023-15-12671</t>
  </si>
  <si>
    <t>16-21-100-043-0000</t>
  </si>
  <si>
    <t>2023-11-13263</t>
  </si>
  <si>
    <t>16-31-307-013-0000</t>
  </si>
  <si>
    <t>2023-11-13337</t>
  </si>
  <si>
    <t>16-29-317-016-0000</t>
  </si>
  <si>
    <t>2023-11-13340</t>
  </si>
  <si>
    <t>16-30-418-013-0000</t>
  </si>
  <si>
    <t>2023-11-13351</t>
  </si>
  <si>
    <t>16-30-324-021-0000</t>
  </si>
  <si>
    <t>2023-11-13374</t>
  </si>
  <si>
    <t>16-31-308-042-0000</t>
  </si>
  <si>
    <t>2023-15-12672</t>
  </si>
  <si>
    <t>16-20-218-017-0000</t>
  </si>
  <si>
    <t>2023-15-12673</t>
  </si>
  <si>
    <t>16-29-226-017-0000</t>
  </si>
  <si>
    <t>2023-15-12674</t>
  </si>
  <si>
    <t>16-29-219-004-0000</t>
  </si>
  <si>
    <t>2023-15-12675</t>
  </si>
  <si>
    <t>16-20-419-011-0000</t>
  </si>
  <si>
    <t>2023-15-12676</t>
  </si>
  <si>
    <t>16-29-405-003-0000</t>
  </si>
  <si>
    <t>2023-15-12680</t>
  </si>
  <si>
    <t>16-29-211-007-0000</t>
  </si>
  <si>
    <t>2023-15-12691</t>
  </si>
  <si>
    <t>16-28-120-016-0000</t>
  </si>
  <si>
    <t>2023-15-12692</t>
  </si>
  <si>
    <t>16-28-118-017-0000</t>
  </si>
  <si>
    <t>2023-15-12693</t>
  </si>
  <si>
    <t>16-28-220-034-0000</t>
  </si>
  <si>
    <t>2023-15-12696</t>
  </si>
  <si>
    <t>16-29-113-009-0000</t>
  </si>
  <si>
    <t>2023-15-12697</t>
  </si>
  <si>
    <t>16-29-305-015-0000</t>
  </si>
  <si>
    <t>16-29-305-016-0000</t>
  </si>
  <si>
    <t>2023-15-12699</t>
  </si>
  <si>
    <t>16-20-314-027-0000</t>
  </si>
  <si>
    <t>2023-15-12700</t>
  </si>
  <si>
    <t>16-20-315-015-0000</t>
  </si>
  <si>
    <t>2023-15-12701</t>
  </si>
  <si>
    <t>16-21-412-036-0000</t>
  </si>
  <si>
    <t>2023-15-12702</t>
  </si>
  <si>
    <t>16-21-418-029-0000</t>
  </si>
  <si>
    <t>2023-15-12703</t>
  </si>
  <si>
    <t>16-21-418-006-0000</t>
  </si>
  <si>
    <t>2023-15-12705</t>
  </si>
  <si>
    <t>16-32-430-010-0000</t>
  </si>
  <si>
    <t>2023-15-12708</t>
  </si>
  <si>
    <t>16-20-431-010-0000</t>
  </si>
  <si>
    <t>2023-15-12709</t>
  </si>
  <si>
    <t>16-29-220-014-0000</t>
  </si>
  <si>
    <t>2023-15-12710</t>
  </si>
  <si>
    <t>16-20-212-010-0000</t>
  </si>
  <si>
    <t>2023-15-12711</t>
  </si>
  <si>
    <t>16-20-220-010-0000</t>
  </si>
  <si>
    <t>2023-15-12714</t>
  </si>
  <si>
    <t>16-21-216-025-0000</t>
  </si>
  <si>
    <t>2023-15-12718</t>
  </si>
  <si>
    <t>16-21-418-003-0000</t>
  </si>
  <si>
    <t>2023-15-12721</t>
  </si>
  <si>
    <t>16-33-104-003-0000</t>
  </si>
  <si>
    <t>2023-15-12722</t>
  </si>
  <si>
    <t>16-20-427-019-0000</t>
  </si>
  <si>
    <t>2023-15-12727</t>
  </si>
  <si>
    <t>16-20-429-017-0000</t>
  </si>
  <si>
    <t>2023-15-12731</t>
  </si>
  <si>
    <t>16-21-301-012-0000</t>
  </si>
  <si>
    <t>2023-15-12733</t>
  </si>
  <si>
    <t>16-33-321-044-0000</t>
  </si>
  <si>
    <t>2023-15-12736</t>
  </si>
  <si>
    <t>16-28-115-019-0000</t>
  </si>
  <si>
    <t>2023-15-12737</t>
  </si>
  <si>
    <t>16-29-106-017-0000</t>
  </si>
  <si>
    <t>2023-15-12738</t>
  </si>
  <si>
    <t>16-20-428-003-0000</t>
  </si>
  <si>
    <t>2023-15-12741</t>
  </si>
  <si>
    <t>16-33-206-004-0000</t>
  </si>
  <si>
    <t>2023-15-12743</t>
  </si>
  <si>
    <t>16-33-314-002-0000</t>
  </si>
  <si>
    <t>2023-15-12745</t>
  </si>
  <si>
    <t>16-33-110-028-0000</t>
  </si>
  <si>
    <t>2023-15-12751</t>
  </si>
  <si>
    <t>16-32-307-049-0000</t>
  </si>
  <si>
    <t>2023-15-12752</t>
  </si>
  <si>
    <t>16-20-418-024-0000</t>
  </si>
  <si>
    <t>2023-15-12757</t>
  </si>
  <si>
    <t>16-28-125-027-0000</t>
  </si>
  <si>
    <t>2023-15-12758</t>
  </si>
  <si>
    <t>16-28-414-009-0000</t>
  </si>
  <si>
    <t>2023-15-12759</t>
  </si>
  <si>
    <t>16-33-329-004-0000</t>
  </si>
  <si>
    <t>2023-15-12766</t>
  </si>
  <si>
    <t>16-32-124-044-0000</t>
  </si>
  <si>
    <t>2023-15-12768</t>
  </si>
  <si>
    <t>16-28-109-019-0000</t>
  </si>
  <si>
    <t>2023-15-12769</t>
  </si>
  <si>
    <t>16-28-416-021-0000</t>
  </si>
  <si>
    <t>2023-15-12771</t>
  </si>
  <si>
    <t>16-33-322-011-0000</t>
  </si>
  <si>
    <t>2023-15-12772</t>
  </si>
  <si>
    <t>16-33-111-020-0000</t>
  </si>
  <si>
    <t>2023-11-13456</t>
  </si>
  <si>
    <t>16-31-401-026-0000</t>
  </si>
  <si>
    <t>2023-15-12778</t>
  </si>
  <si>
    <t>16-32-428-003-0000</t>
  </si>
  <si>
    <t>2023-15-12779</t>
  </si>
  <si>
    <t>16-32-408-043-0000</t>
  </si>
  <si>
    <t>2023-11-13489</t>
  </si>
  <si>
    <t>16-29-317-013-0000</t>
  </si>
  <si>
    <t>2023-11-13495</t>
  </si>
  <si>
    <t>16-30-114-032-0000</t>
  </si>
  <si>
    <t>2023-11-13549</t>
  </si>
  <si>
    <t>16-19-308-029-0000</t>
  </si>
  <si>
    <t>2023-27-15824</t>
  </si>
  <si>
    <t>16-05-116-017-0000</t>
  </si>
  <si>
    <t>2023-15-12788</t>
  </si>
  <si>
    <t>16-29-202-035-0000</t>
  </si>
  <si>
    <t>2023-15-12791</t>
  </si>
  <si>
    <t>16-21-426-009-0000</t>
  </si>
  <si>
    <t>2023-15-12792</t>
  </si>
  <si>
    <t>16-33-302-042-0000</t>
  </si>
  <si>
    <t>2023-15-12793</t>
  </si>
  <si>
    <t>16-29-122-013-0000</t>
  </si>
  <si>
    <t>2023-15-12796</t>
  </si>
  <si>
    <t>16-20-231-014-0000</t>
  </si>
  <si>
    <t>2023-15-12797</t>
  </si>
  <si>
    <t>16-28-414-044-0000</t>
  </si>
  <si>
    <t>Row Labels</t>
  </si>
  <si>
    <t>Grand Total</t>
  </si>
  <si>
    <t>Column Labels</t>
  </si>
  <si>
    <t>Count of pin</t>
  </si>
  <si>
    <t>Assessment_change</t>
  </si>
  <si>
    <t>Sum of AsrTot</t>
  </si>
  <si>
    <t>Sum of BrdTot</t>
  </si>
  <si>
    <t>Sum of Assessment_change</t>
  </si>
  <si>
    <t>20-30-435-003-0000</t>
  </si>
  <si>
    <t>Rejected</t>
  </si>
  <si>
    <t>No Change</t>
  </si>
  <si>
    <t>damage_note</t>
  </si>
  <si>
    <t>basement flooded</t>
  </si>
  <si>
    <t>25-09-217-019-0000</t>
  </si>
  <si>
    <t>25-09-217-020-0000</t>
  </si>
  <si>
    <t>24-26-108-015-0000</t>
  </si>
  <si>
    <t>20-20-419-029-0000</t>
  </si>
  <si>
    <t>19-26-210-052-0000</t>
  </si>
  <si>
    <t>19-25-114-008-0000</t>
  </si>
  <si>
    <t>20-20-104-005-0000</t>
  </si>
  <si>
    <t>19-26-400-004-0000</t>
  </si>
  <si>
    <t>flooding in basement, level. Water damage to basement walls. Tiles pulling up from basement floor.</t>
  </si>
  <si>
    <t>flooding</t>
  </si>
  <si>
    <t>Data from Assessor's office, PDF scanned version of PTAX45 forms. Rejected Appeals.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</si>
</sst>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2"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a Wilbur" refreshedDate="45369.843002662034" createdVersion="8" refreshedVersion="8" minRefreshableVersion="3" recordCount="318" xr:uid="{BAB7F6E5-3619-41B2-8A84-68BCF289ABDB}">
  <cacheSource type="worksheet">
    <worksheetSource name="Table1"/>
  </cacheSource>
  <cacheFields count="11">
    <cacheField name="AplDAP" numFmtId="0">
      <sharedItems/>
    </cacheField>
    <cacheField name="KeyPIN" numFmtId="0">
      <sharedItems count="307">
        <s v="16-33-208-012-0000"/>
        <s v="16-20-423-027-0000"/>
        <s v="16-29-123-027-0000"/>
        <s v="16-28-118-017-0000"/>
        <s v="16-21-418-029-0000"/>
        <s v="16-29-317-013-0000"/>
        <s v="16-29-202-035-0000"/>
        <s v="16-31-422-017-0000"/>
        <s v="16-28-213-003-0000"/>
        <s v="16-20-109-026-0000"/>
        <s v="16-30-402-030-0000"/>
        <s v="16-30-225-023-0000"/>
        <s v="16-31-331-003-0000"/>
        <s v="16-29-221-005-0000"/>
        <s v="16-20-203-029-0000"/>
        <s v="16-21-418-028-0000"/>
        <s v="16-21-205-045-0000"/>
        <s v="16-29-202-034-0000"/>
        <s v="16-20-420-040-0000"/>
        <s v="16-20-300-040-0000"/>
        <s v="16-20-419-040-0000"/>
        <s v="16-20-218-025-0000"/>
        <s v="16-29-120-009-0000"/>
        <s v="16-28-420-011-0000"/>
        <s v="16-30-324-021-0000"/>
        <s v="16-29-226-017-0000"/>
        <s v="16-20-314-027-0000"/>
        <s v="16-33-104-003-0000"/>
        <s v="16-20-429-017-0000"/>
        <s v="16-33-322-011-0000"/>
        <s v="16-05-116-017-0000"/>
        <s v="16-29-122-013-0000"/>
        <s v="16-29-207-028-0000"/>
        <s v="16-20-208-020-0000"/>
        <s v="16-21-418-006-0000"/>
        <s v="16-32-309-030-0000"/>
        <s v="16-32-305-053-0000"/>
        <s v="16-28-224-039-0000"/>
        <s v="16-20-306-038-0000"/>
        <s v="16-32-401-021-0000"/>
        <s v="15-35-407-001-0000"/>
        <s v="16-29-208-004-0000"/>
        <s v="16-20-231-014-0000"/>
        <s v="16-33-102-053-0000"/>
        <s v="16-32-422-008-0000"/>
        <s v="16-32-420-028-0000"/>
        <s v="16-32-421-014-0000"/>
        <s v="16-22-302-022-0000"/>
        <s v="16-29-222-036-0000"/>
        <s v="16-29-120-035-0000"/>
        <s v="16-28-128-014-0000"/>
        <s v="16-21-407-001-0000"/>
        <s v="16-28-110-033-0000"/>
        <s v="16-21-423-002-0000"/>
        <s v="16-22-304-013-0000"/>
        <s v="16-28-113-024-0000"/>
        <s v="16-21-407-015-0000"/>
        <s v="16-21-429-017-0000"/>
        <s v="16-29-211-007-0000"/>
        <s v="16-28-120-016-0000"/>
        <s v="16-29-113-009-0000"/>
        <s v="16-32-302-031-0000"/>
        <s v="16-21-221-035-0000"/>
        <s v="16-28-206-041-1001"/>
        <s v="16-22-102-001-0000"/>
        <s v="16-29-222-002-0000"/>
        <s v="16-29-222-003-0000"/>
        <s v="16-29-214-022-0000"/>
        <s v="16-32-400-033-0000"/>
        <s v="16-30-409-017-0000"/>
        <s v="16-22-306-034-0000"/>
        <s v="16-20-410-012-0000"/>
        <s v="16-20-413-039-0000"/>
        <s v="16-21-418-003-0000"/>
        <s v="16-28-105-031-0000"/>
        <s v="16-29-305-015-0000"/>
        <s v="16-29-305-016-0000"/>
        <s v="16-29-226-004-0000"/>
        <s v="16-30-217-027-0000"/>
        <s v="16-29-120-024-0000"/>
        <s v="16-20-231-018-0000"/>
        <s v="16-19-426-002-0000"/>
        <s v="16-33-111-020-0000"/>
        <s v="16-28-105-035-0000"/>
        <s v="16-29-215-008-0000"/>
        <s v="16-32-430-010-0000"/>
        <s v="16-29-209-029-0000"/>
        <s v="16-33-110-046-0000"/>
        <s v="16-32-409-040-0000"/>
        <s v="16-22-302-032-0000"/>
        <s v="16-33-311-030-0000"/>
        <s v="16-29-227-003-0000"/>
        <s v="16-29-106-019-0000"/>
        <s v="16-21-424-016-0000"/>
        <s v="16-33-302-040-0000"/>
        <s v="16-29-405-003-0000"/>
        <s v="16-28-111-009-0000"/>
        <s v="16-21-101-022-0000"/>
        <s v="16-28-114-002-0000"/>
        <s v="16-20-217-004-0000"/>
        <s v="16-21-216-014-0000"/>
        <s v="16-32-219-010-0000"/>
        <s v="16-33-304-022-0000"/>
        <s v="16-33-203-020-0000"/>
        <s v="16-20-326-017-0000"/>
        <s v="16-29-220-014-0000"/>
        <s v="16-29-220-010-0000"/>
        <s v="16-33-302-042-0000"/>
        <s v="16-20-203-036-0000"/>
        <s v="16-20-218-017-0000"/>
        <s v="16-20-315-015-0000"/>
        <s v="16-32-409-014-0000"/>
        <s v="16-33-310-010-0000"/>
        <s v="16-19-225-045-0000"/>
        <s v="16-21-209-002-0000"/>
        <s v="16-20-405-032-0000"/>
        <s v="16-19-225-011-0000"/>
        <s v="16-20-129-019-0000"/>
        <s v="16-21-210-041-0000"/>
        <s v="16-29-115-022-0000"/>
        <s v="16-33-321-044-0000"/>
        <s v="16-32-135-053-0000"/>
        <s v="16-21-417-030-0000"/>
        <s v="16-20-120-028-0000"/>
        <s v="16-20-313-024-0000"/>
        <s v="16-19-309-019-0000"/>
        <s v="16-29-404-035-0000"/>
        <s v="16-20-221-009-0000"/>
        <s v="16-29-227-030-0000"/>
        <s v="16-21-100-010-0000"/>
        <s v="16-20-230-005-0000"/>
        <s v="16-28-217-013-0000"/>
        <s v="16-32-418-033-0000"/>
        <s v="16-20-430-001-0000"/>
        <s v="16-21-301-012-0000"/>
        <s v="16-21-425-005-0000"/>
        <s v="16-29-404-015-0000"/>
        <s v="16-20-419-034-0000"/>
        <s v="16-29-219-004-0000"/>
        <s v="16-32-118-002-0000"/>
        <s v="16-20-203-034-0000"/>
        <s v="16-33-329-004-0000"/>
        <s v="16-20-413-011-0000"/>
        <s v="16-05-120-001-0000"/>
        <s v="16-30-111-013-0000"/>
        <s v="16-28-414-003-0000"/>
        <s v="16-20-419-011-0000"/>
        <s v="16-30-408-040-0000"/>
        <s v="16-28-414-044-0000"/>
        <s v="16-20-426-020-0000"/>
        <s v="16-21-400-028-0000"/>
        <s v="16-20-204-016-0000"/>
        <s v="16-20-427-019-0000"/>
        <s v="16-21-422-032-0000"/>
        <s v="16-21-419-006-0000"/>
        <s v="16-29-215-016-0000"/>
        <s v="16-22-306-027-0000"/>
        <s v="16-33-329-030-0000"/>
        <s v="16-22-100-030-0000"/>
        <s v="16-20-305-024-0000"/>
        <s v="16-29-208-005-0000"/>
        <s v="16-33-211-019-0000"/>
        <s v="16-30-114-032-0000"/>
        <s v="16-28-128-034-0000"/>
        <s v="16-21-100-043-0000"/>
        <s v="16-28-414-009-0000"/>
        <s v="16-33-216-021-0000"/>
        <s v="16-22-308-015-0000"/>
        <s v="16-20-431-010-0000"/>
        <s v="16-20-203-020-0000"/>
        <s v="16-20-404-011-0000"/>
        <s v="16-28-216-018-0000"/>
        <s v="16-32-408-043-0000"/>
        <s v="16-28-122-011-0000"/>
        <s v="16-30-418-013-0000"/>
        <s v="16-28-108-014-0000"/>
        <s v="16-29-402-003-0000"/>
        <s v="16-33-302-041-0000"/>
        <s v="16-21-216-025-0000"/>
        <s v="16-32-216-007-0000"/>
        <s v="16-28-125-027-0000"/>
        <s v="16-20-117-038-0000"/>
        <s v="16-30-105-007-0000"/>
        <s v="16-31-424-057-0000"/>
        <s v="16-30-408-023-0000"/>
        <s v="16-28-220-034-0000"/>
        <s v="16-21-218-017-0000"/>
        <s v="16-29-222-029-0000"/>
        <s v="16-19-415-037-0000"/>
        <s v="16-32-220-096-0000"/>
        <s v="16-21-205-024-0000"/>
        <s v="16-21-412-029-0000"/>
        <s v="16-29-213-028-0000"/>
        <s v="16-29-106-033-0000"/>
        <s v="16-30-310-018-0000"/>
        <s v="16-20-428-003-0000"/>
        <s v="16-32-305-004-0000"/>
        <s v="16-32-428-003-0000"/>
        <s v="16-20-418-024-0000"/>
        <s v="16-20-105-027-0000"/>
        <s v="16-32-307-049-0000"/>
        <s v="16-20-420-027-0000"/>
        <s v="16-20-415-007-0000"/>
        <s v="16-21-423-017-0000"/>
        <s v="16-29-211-006-0000"/>
        <s v="16-31-401-026-0000"/>
        <s v="16-29-204-029-0000"/>
        <s v="16-21-407-004-0000"/>
        <s v="16-32-408-040-0000"/>
        <s v="16-20-335-021-0000"/>
        <s v="16-28-115-003-0000"/>
        <s v="16-29-309-016-0000"/>
        <s v="16-33-110-028-0000"/>
        <s v="16-21-410-015-0000"/>
        <s v="16-32-124-044-0000"/>
        <s v="16-20-409-009-0000"/>
        <s v="16-28-109-025-0000"/>
        <s v="16-28-119-002-0000"/>
        <s v="16-29-314-011-0000"/>
        <s v="16-29-208-018-0000"/>
        <s v="16-28-104-018-0000"/>
        <s v="16-33-314-002-0000"/>
        <s v="16-28-310-033-0000"/>
        <s v="16-30-227-005-0000"/>
        <s v="16-20-404-023-0000"/>
        <s v="16-29-123-012-0000"/>
        <s v="16-20-411-012-0000"/>
        <s v="16-32-429-055-0000"/>
        <s v="16-19-310-012-0000"/>
        <s v="16-20-313-030-0000"/>
        <s v="16-29-114-036-0000"/>
        <s v="16-33-206-004-0000"/>
        <s v="16-20-219-002-0000"/>
        <s v="16-31-131-010-0000"/>
        <s v="16-28-109-019-0000"/>
        <s v="16-20-314-008-0000"/>
        <s v="16-20-431-003-0000"/>
        <s v="16-32-417-024-0000"/>
        <s v="16-29-401-018-0000"/>
        <s v="16-33-201-027-0000"/>
        <s v="16-32-419-003-0000"/>
        <s v="16-29-214-037-0000"/>
        <s v="16-20-431-007-0000"/>
        <s v="16-21-411-033-0000"/>
        <s v="16-29-124-007-0000"/>
        <s v="16-21-406-012-0000"/>
        <s v="16-33-305-038-0000"/>
        <s v="16-21-403-032-0000"/>
        <s v="16-21-100-038-0000"/>
        <s v="16-31-308-042-0000"/>
        <s v="16-33-111-014-0000"/>
        <s v="16-28-128-006-0000"/>
        <s v="16-20-224-019-0000"/>
        <s v="16-20-400-001-0000"/>
        <s v="16-29-203-017-0000"/>
        <s v="16-21-412-036-0000"/>
        <s v="16-28-419-008-0000"/>
        <s v="16-19-308-029-0000"/>
        <s v="16-21-200-025-0000"/>
        <s v="16-21-225-015-0000"/>
        <s v="16-31-307-013-0000"/>
        <s v="16-21-305-007-0000"/>
        <s v="16-20-106-055-0000"/>
        <s v="16-21-305-022-0000"/>
        <s v="16-20-220-010-0000"/>
        <s v="16-21-410-025-0000"/>
        <s v="16-28-117-002-0000"/>
        <s v="16-29-317-016-0000"/>
        <s v="16-29-404-008-0000"/>
        <s v="16-21-412-027-0000"/>
        <s v="16-30-413-011-0000"/>
        <s v="16-29-304-005-0000"/>
        <s v="16-28-429-003-0000"/>
        <s v="16-30-309-023-0000"/>
        <s v="16-20-212-010-0000"/>
        <s v="16-28-416-021-0000"/>
        <s v="16-28-212-025-0000"/>
        <s v="16-31-301-005-0000"/>
        <s v="16-31-232-009-0000"/>
        <s v="16-33-320-013-0000"/>
        <s v="16-32-217-021-0000"/>
        <s v="16-33-206-027-0000"/>
        <s v="16-19-431-010-0000"/>
        <s v="16-28-113-014-0000"/>
        <s v="16-20-213-001-0000"/>
        <s v="16-28-112-006-0000"/>
        <s v="16-28-110-024-0000"/>
        <s v="16-20-205-025-0000"/>
        <s v="16-21-404-013-0000"/>
        <s v="16-28-115-019-0000"/>
        <s v="16-21-425-007-0000"/>
        <s v="16-29-106-017-0000"/>
        <s v="15-01-409-011-0000"/>
        <s v="16-21-303-006-0000"/>
        <s v="16-31-323-008-0000"/>
        <s v="16-20-418-016-0000"/>
        <s v="16-28-212-010-0000"/>
        <s v="16-31-123-023-0000"/>
        <s v="16-21-224-038-0000"/>
        <s v="16-20-430-014-0000"/>
        <s v="16-29-201-031-0000"/>
        <s v="15-01-211-069-0000"/>
        <s v="16-21-422-031-0000"/>
        <s v="16-20-227-041-0000"/>
        <s v="16-20-227-042-0000"/>
        <s v="16-31-403-026-0000"/>
        <s v="16-21-426-009-0000"/>
      </sharedItems>
    </cacheField>
    <cacheField name="AplSts" numFmtId="0">
      <sharedItems/>
    </cacheField>
    <cacheField name="AplDec" numFmtId="0">
      <sharedItems count="2">
        <s v="NO CHANGE "/>
        <s v="CHANGE    "/>
      </sharedItems>
    </cacheField>
    <cacheField name="DecCde" numFmtId="0">
      <sharedItems/>
    </cacheField>
    <cacheField name="pin" numFmtId="0">
      <sharedItems/>
    </cacheField>
    <cacheField name="AsrTot" numFmtId="0">
      <sharedItems containsSemiMixedTypes="0" containsString="0" containsNumber="1" containsInteger="1" minValue="2840" maxValue="95999"/>
    </cacheField>
    <cacheField name="BrdTot" numFmtId="0">
      <sharedItems containsSemiMixedTypes="0" containsString="0" containsNumber="1" containsInteger="1" minValue="2828" maxValue="95999"/>
    </cacheField>
    <cacheField name="Class" numFmtId="0">
      <sharedItems containsSemiMixedTypes="0" containsString="0" containsNumber="1" containsInteger="1" minValue="201" maxValue="590" count="16">
        <n v="202"/>
        <n v="203"/>
        <n v="204"/>
        <n v="205"/>
        <n v="206"/>
        <n v="210"/>
        <n v="211"/>
        <n v="234"/>
        <n v="295"/>
        <n v="299"/>
        <n v="522"/>
        <n v="590"/>
        <n v="201"/>
        <n v="207"/>
        <n v="212"/>
        <n v="314"/>
      </sharedItems>
    </cacheField>
    <cacheField name="TaxCode" numFmtId="0">
      <sharedItems containsSemiMixedTypes="0" containsString="0" containsNumber="1" containsInteger="1" minValue="11001" maxValue="34006" count="10">
        <n v="15002"/>
        <n v="15001"/>
        <n v="11002"/>
        <n v="11001"/>
        <n v="15005"/>
        <n v="27001"/>
        <n v="34006"/>
        <n v="15004"/>
        <n v="15008"/>
        <n v="33001"/>
      </sharedItems>
    </cacheField>
    <cacheField name="Assessment_change" numFmtId="0">
      <sharedItems containsSemiMixedTypes="0" containsString="0" containsNumber="1" containsInteger="1" minValue="0" maxValue="186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8">
  <r>
    <s v="2023-15-12209"/>
    <x v="0"/>
    <s v="COMPLETE                                          "/>
    <x v="0"/>
    <s v="2-ANALYSIS OF COMPARABLE PROPERTIES               "/>
    <s v="16-33-208-012-0000"/>
    <n v="15999"/>
    <n v="15999"/>
    <x v="0"/>
    <x v="0"/>
    <n v="0"/>
  </r>
  <r>
    <s v="2023-15-12372"/>
    <x v="1"/>
    <s v="COMPLETE                                          "/>
    <x v="0"/>
    <s v="2-ANALYSIS OF COMPARABLE PROPERTIES               "/>
    <s v="16-20-423-027-0000"/>
    <n v="17999"/>
    <n v="17999"/>
    <x v="0"/>
    <x v="1"/>
    <n v="0"/>
  </r>
  <r>
    <s v="2023-15-12647"/>
    <x v="2"/>
    <s v="COMPLETE                                          "/>
    <x v="0"/>
    <s v="2-ANALYSIS OF COMPARABLE PROPERTIES               "/>
    <s v="16-29-123-027-0000"/>
    <n v="19999"/>
    <n v="19999"/>
    <x v="0"/>
    <x v="1"/>
    <n v="0"/>
  </r>
  <r>
    <s v="2023-15-12692"/>
    <x v="3"/>
    <s v="COMPLETE                                          "/>
    <x v="0"/>
    <s v="2-ANALYSIS OF COMPARABLE PROPERTIES               "/>
    <s v="16-28-118-017-0000"/>
    <n v="18999"/>
    <n v="18999"/>
    <x v="0"/>
    <x v="1"/>
    <n v="0"/>
  </r>
  <r>
    <s v="2023-15-12702"/>
    <x v="4"/>
    <s v="COMPLETE                                          "/>
    <x v="0"/>
    <s v="2-ANALYSIS OF COMPARABLE PROPERTIES               "/>
    <s v="16-21-418-029-0000"/>
    <n v="18000"/>
    <n v="18000"/>
    <x v="0"/>
    <x v="1"/>
    <n v="0"/>
  </r>
  <r>
    <s v="2023-11-13489"/>
    <x v="5"/>
    <s v="COMPLETE                                          "/>
    <x v="0"/>
    <s v="2-ANALYSIS OF COMPARABLE PROPERTIES               "/>
    <s v="16-29-317-013-0000"/>
    <n v="20999"/>
    <n v="20999"/>
    <x v="0"/>
    <x v="2"/>
    <n v="0"/>
  </r>
  <r>
    <s v="2023-15-12788"/>
    <x v="6"/>
    <s v="COMPLETE                                          "/>
    <x v="0"/>
    <s v="2-ANALYSIS OF COMPARABLE PROPERTIES               "/>
    <s v="16-29-202-035-0000"/>
    <n v="14999"/>
    <n v="14999"/>
    <x v="0"/>
    <x v="1"/>
    <n v="0"/>
  </r>
  <r>
    <s v="2023-11-10982"/>
    <x v="7"/>
    <s v="COMPLETE                                          "/>
    <x v="0"/>
    <s v="2-ANALYSIS OF COMPARABLE PROPERTIES               "/>
    <s v="16-31-422-017-0000"/>
    <n v="20999"/>
    <n v="20999"/>
    <x v="1"/>
    <x v="2"/>
    <n v="0"/>
  </r>
  <r>
    <s v="2023-15-11340"/>
    <x v="8"/>
    <s v="COMPLETE                                          "/>
    <x v="0"/>
    <s v="2-ANALYSIS OF COMPARABLE PROPERTIES               "/>
    <s v="16-28-213-003-0000"/>
    <n v="18999"/>
    <n v="18999"/>
    <x v="1"/>
    <x v="1"/>
    <n v="0"/>
  </r>
  <r>
    <s v="2023-11-12618"/>
    <x v="9"/>
    <s v="COMPLETE                                          "/>
    <x v="0"/>
    <s v="2-ANALYSIS OF COMPARABLE PROPERTIES               "/>
    <s v="16-20-109-026-0000"/>
    <n v="24000"/>
    <n v="24000"/>
    <x v="1"/>
    <x v="3"/>
    <n v="0"/>
  </r>
  <r>
    <s v="2023-11-12619"/>
    <x v="10"/>
    <s v="COMPLETE                                          "/>
    <x v="0"/>
    <s v="2-ANALYSIS OF COMPARABLE PROPERTIES               "/>
    <s v="16-30-402-030-0000"/>
    <n v="24999"/>
    <n v="24999"/>
    <x v="1"/>
    <x v="2"/>
    <n v="0"/>
  </r>
  <r>
    <s v="2023-11-12646"/>
    <x v="11"/>
    <s v="COMPLETE                                          "/>
    <x v="0"/>
    <s v="2-ANALYSIS OF COMPARABLE PROPERTIES               "/>
    <s v="16-30-225-023-0000"/>
    <n v="21999"/>
    <n v="21999"/>
    <x v="1"/>
    <x v="2"/>
    <n v="0"/>
  </r>
  <r>
    <s v="2023-11-12685"/>
    <x v="12"/>
    <s v="COMPLETE                                          "/>
    <x v="0"/>
    <s v="2-ANALYSIS OF COMPARABLE PROPERTIES               "/>
    <s v="16-31-331-003-0000"/>
    <n v="24999"/>
    <n v="24999"/>
    <x v="1"/>
    <x v="2"/>
    <n v="0"/>
  </r>
  <r>
    <s v="2023-15-12067"/>
    <x v="13"/>
    <s v="COMPLETE                                          "/>
    <x v="0"/>
    <s v="2-ANALYSIS OF COMPARABLE PROPERTIES               "/>
    <s v="16-29-221-005-0000"/>
    <n v="16999"/>
    <n v="16999"/>
    <x v="1"/>
    <x v="1"/>
    <n v="0"/>
  </r>
  <r>
    <s v="2023-15-12122"/>
    <x v="14"/>
    <s v="COMPLETE                                          "/>
    <x v="0"/>
    <s v="2-ANALYSIS OF COMPARABLE PROPERTIES               "/>
    <s v="16-20-203-029-0000"/>
    <n v="17999"/>
    <n v="17999"/>
    <x v="1"/>
    <x v="1"/>
    <n v="0"/>
  </r>
  <r>
    <s v="2023-15-12173"/>
    <x v="15"/>
    <s v="COMPLETE                                          "/>
    <x v="0"/>
    <s v="2-ANALYSIS OF COMPARABLE PROPERTIES               "/>
    <s v="16-21-418-028-0000"/>
    <n v="21000"/>
    <n v="21000"/>
    <x v="1"/>
    <x v="1"/>
    <n v="0"/>
  </r>
  <r>
    <s v="2023-15-12190"/>
    <x v="16"/>
    <s v="COMPLETE                                          "/>
    <x v="0"/>
    <s v="2-ANALYSIS OF COMPARABLE PROPERTIES               "/>
    <s v="16-21-205-045-0000"/>
    <n v="18999"/>
    <n v="18999"/>
    <x v="1"/>
    <x v="1"/>
    <n v="0"/>
  </r>
  <r>
    <s v="2023-15-12317"/>
    <x v="17"/>
    <s v="COMPLETE                                          "/>
    <x v="0"/>
    <s v="2-ANALYSIS OF COMPARABLE PROPERTIES               "/>
    <s v="16-29-202-034-0000"/>
    <n v="16487"/>
    <n v="16487"/>
    <x v="1"/>
    <x v="1"/>
    <n v="0"/>
  </r>
  <r>
    <s v="2023-15-12333"/>
    <x v="18"/>
    <s v="COMPLETE                                          "/>
    <x v="0"/>
    <s v="2-ANALYSIS OF COMPARABLE PROPERTIES               "/>
    <s v="16-20-420-040-0000"/>
    <n v="22999"/>
    <n v="22999"/>
    <x v="1"/>
    <x v="1"/>
    <n v="0"/>
  </r>
  <r>
    <s v="2023-11-13106"/>
    <x v="19"/>
    <s v="COMPLETE                                          "/>
    <x v="0"/>
    <s v="2-ANALYSIS OF COMPARABLE PROPERTIES               "/>
    <s v="16-20-300-040-0000"/>
    <n v="20000"/>
    <n v="20000"/>
    <x v="1"/>
    <x v="3"/>
    <n v="0"/>
  </r>
  <r>
    <s v="2023-15-12532"/>
    <x v="20"/>
    <s v="COMPLETE                                          "/>
    <x v="0"/>
    <s v="2-ANALYSIS OF COMPARABLE PROPERTIES               "/>
    <s v="16-20-419-040-0000"/>
    <n v="19999"/>
    <n v="19999"/>
    <x v="1"/>
    <x v="1"/>
    <n v="0"/>
  </r>
  <r>
    <s v="2023-15-12542"/>
    <x v="21"/>
    <s v="COMPLETE                                          "/>
    <x v="0"/>
    <s v="2-ANALYSIS OF COMPARABLE PROPERTIES               "/>
    <s v="16-20-218-025-0000"/>
    <n v="23999"/>
    <n v="23999"/>
    <x v="1"/>
    <x v="1"/>
    <n v="0"/>
  </r>
  <r>
    <s v="2023-15-12623"/>
    <x v="22"/>
    <s v="COMPLETE                                          "/>
    <x v="0"/>
    <s v="2-ANALYSIS OF COMPARABLE PROPERTIES               "/>
    <s v="16-29-120-009-0000"/>
    <n v="18000"/>
    <n v="18000"/>
    <x v="1"/>
    <x v="1"/>
    <n v="0"/>
  </r>
  <r>
    <s v="2023-15-12665"/>
    <x v="23"/>
    <s v="COMPLETE                                          "/>
    <x v="0"/>
    <s v="2-ANALYSIS OF COMPARABLE PROPERTIES               "/>
    <s v="16-28-420-011-0000"/>
    <n v="18171"/>
    <n v="18171"/>
    <x v="1"/>
    <x v="4"/>
    <n v="0"/>
  </r>
  <r>
    <s v="2023-11-13351"/>
    <x v="24"/>
    <s v="COMPLETE                                          "/>
    <x v="0"/>
    <s v="2-ANALYSIS OF COMPARABLE PROPERTIES               "/>
    <s v="16-30-324-021-0000"/>
    <n v="19999"/>
    <n v="19999"/>
    <x v="1"/>
    <x v="2"/>
    <n v="0"/>
  </r>
  <r>
    <s v="2023-15-12673"/>
    <x v="25"/>
    <s v="COMPLETE                                          "/>
    <x v="0"/>
    <s v="2-ANALYSIS OF COMPARABLE PROPERTIES               "/>
    <s v="16-29-226-017-0000"/>
    <n v="16999"/>
    <n v="16999"/>
    <x v="1"/>
    <x v="1"/>
    <n v="0"/>
  </r>
  <r>
    <s v="2023-15-12699"/>
    <x v="26"/>
    <s v="COMPLETE                                          "/>
    <x v="0"/>
    <s v="2-ANALYSIS OF COMPARABLE PROPERTIES               "/>
    <s v="16-20-314-027-0000"/>
    <n v="25999"/>
    <n v="25999"/>
    <x v="1"/>
    <x v="1"/>
    <n v="0"/>
  </r>
  <r>
    <s v="2023-15-12721"/>
    <x v="27"/>
    <s v="COMPLETE                                          "/>
    <x v="0"/>
    <s v="2-ANALYSIS OF COMPARABLE PROPERTIES               "/>
    <s v="16-33-104-003-0000"/>
    <n v="17999"/>
    <n v="17999"/>
    <x v="1"/>
    <x v="0"/>
    <n v="0"/>
  </r>
  <r>
    <s v="2023-15-12727"/>
    <x v="28"/>
    <s v="COMPLETE                                          "/>
    <x v="0"/>
    <s v="2-ANALYSIS OF COMPARABLE PROPERTIES               "/>
    <s v="16-20-429-017-0000"/>
    <n v="17999"/>
    <n v="17999"/>
    <x v="1"/>
    <x v="1"/>
    <n v="0"/>
  </r>
  <r>
    <s v="2023-15-12771"/>
    <x v="29"/>
    <s v="COMPLETE                                          "/>
    <x v="0"/>
    <s v="2-ANALYSIS OF COMPARABLE PROPERTIES               "/>
    <s v="16-33-322-011-0000"/>
    <n v="20999"/>
    <n v="20999"/>
    <x v="1"/>
    <x v="0"/>
    <n v="0"/>
  </r>
  <r>
    <s v="2023-27-15824"/>
    <x v="30"/>
    <s v="COMPLETE                                          "/>
    <x v="0"/>
    <s v="2-ANALYSIS OF COMPARABLE PROPERTIES               "/>
    <s v="16-05-116-017-0000"/>
    <n v="35999"/>
    <n v="35999"/>
    <x v="1"/>
    <x v="5"/>
    <n v="0"/>
  </r>
  <r>
    <s v="2023-15-12793"/>
    <x v="31"/>
    <s v="COMPLETE                                          "/>
    <x v="0"/>
    <s v="2-ANALYSIS OF COMPARABLE PROPERTIES               "/>
    <s v="16-29-122-013-0000"/>
    <n v="18999"/>
    <n v="18999"/>
    <x v="1"/>
    <x v="1"/>
    <n v="0"/>
  </r>
  <r>
    <s v="2023-15-12071"/>
    <x v="32"/>
    <s v="COMPLETE                                          "/>
    <x v="0"/>
    <s v="2-ANALYSIS OF COMPARABLE PROPERTIES               "/>
    <s v="16-29-207-028-0000"/>
    <n v="25999"/>
    <n v="25999"/>
    <x v="2"/>
    <x v="1"/>
    <n v="0"/>
  </r>
  <r>
    <s v="2023-15-12562"/>
    <x v="33"/>
    <s v="COMPLETE                                          "/>
    <x v="0"/>
    <s v="2-ANALYSIS OF COMPARABLE PROPERTIES               "/>
    <s v="16-20-208-020-0000"/>
    <n v="23999"/>
    <n v="23999"/>
    <x v="2"/>
    <x v="1"/>
    <n v="0"/>
  </r>
  <r>
    <s v="2023-15-12703"/>
    <x v="34"/>
    <s v="COMPLETE                                          "/>
    <x v="0"/>
    <s v="2-ANALYSIS OF COMPARABLE PROPERTIES               "/>
    <s v="16-21-418-006-0000"/>
    <n v="28000"/>
    <n v="28000"/>
    <x v="2"/>
    <x v="1"/>
    <n v="0"/>
  </r>
  <r>
    <s v="2023-11-12592"/>
    <x v="35"/>
    <s v="COMPLETE                                          "/>
    <x v="0"/>
    <s v="2-ANALYSIS OF COMPARABLE PROPERTIES               "/>
    <s v="16-32-309-030-0000"/>
    <n v="30999"/>
    <n v="30999"/>
    <x v="3"/>
    <x v="2"/>
    <n v="0"/>
  </r>
  <r>
    <s v="2023-15-12042"/>
    <x v="36"/>
    <s v="COMPLETE                                          "/>
    <x v="0"/>
    <s v="2-ANALYSIS OF COMPARABLE PROPERTIES               "/>
    <s v="16-32-305-053-0000"/>
    <n v="16999"/>
    <n v="16999"/>
    <x v="3"/>
    <x v="1"/>
    <n v="0"/>
  </r>
  <r>
    <s v="2023-15-12515"/>
    <x v="37"/>
    <s v="COMPLETE                                          "/>
    <x v="0"/>
    <s v="2-ANALYSIS OF COMPARABLE PROPERTIES               "/>
    <s v="16-28-224-039-0000"/>
    <n v="20999"/>
    <n v="20999"/>
    <x v="3"/>
    <x v="1"/>
    <n v="0"/>
  </r>
  <r>
    <s v="2023-15-12563"/>
    <x v="38"/>
    <s v="COMPLETE                                          "/>
    <x v="0"/>
    <s v="2-ANALYSIS OF COMPARABLE PROPERTIES               "/>
    <s v="16-20-306-038-0000"/>
    <n v="21999"/>
    <n v="21999"/>
    <x v="3"/>
    <x v="1"/>
    <n v="0"/>
  </r>
  <r>
    <s v="2023-15-12638"/>
    <x v="39"/>
    <s v="COMPLETE                                          "/>
    <x v="0"/>
    <s v="2-ANALYSIS OF COMPARABLE PROPERTIES               "/>
    <s v="16-32-401-021-0000"/>
    <n v="18999"/>
    <n v="18999"/>
    <x v="3"/>
    <x v="1"/>
    <n v="0"/>
  </r>
  <r>
    <s v="2023-34-11606"/>
    <x v="40"/>
    <s v="COMPLETE                                          "/>
    <x v="0"/>
    <s v="2-ANALYSIS OF COMPARABLE PROPERTIES               "/>
    <s v="15-35-407-001-0000"/>
    <n v="95999"/>
    <n v="95999"/>
    <x v="4"/>
    <x v="6"/>
    <n v="0"/>
  </r>
  <r>
    <s v="2023-15-12137"/>
    <x v="41"/>
    <s v="COMPLETE                                          "/>
    <x v="0"/>
    <s v="2-ANALYSIS OF COMPARABLE PROPERTIES               "/>
    <s v="16-29-208-004-0000"/>
    <n v="28580"/>
    <n v="28580"/>
    <x v="4"/>
    <x v="1"/>
    <n v="0"/>
  </r>
  <r>
    <s v="2023-15-12796"/>
    <x v="42"/>
    <s v="COMPLETE                                          "/>
    <x v="0"/>
    <s v="2-ANALYSIS OF COMPARABLE PROPERTIES               "/>
    <s v="16-20-231-014-0000"/>
    <n v="30999"/>
    <n v="30999"/>
    <x v="4"/>
    <x v="1"/>
    <n v="0"/>
  </r>
  <r>
    <s v="2023-15-12257"/>
    <x v="43"/>
    <s v="COMPLETE                                          "/>
    <x v="0"/>
    <s v="2-ANALYSIS OF COMPARABLE PROPERTIES               "/>
    <s v="16-33-102-053-0000"/>
    <n v="14999"/>
    <n v="14999"/>
    <x v="5"/>
    <x v="0"/>
    <n v="0"/>
  </r>
  <r>
    <s v="2023-15-12611"/>
    <x v="44"/>
    <s v="COMPLETE                                          "/>
    <x v="0"/>
    <s v="2-ANALYSIS OF COMPARABLE PROPERTIES               "/>
    <s v="16-32-422-008-0000"/>
    <n v="17999"/>
    <n v="17999"/>
    <x v="5"/>
    <x v="1"/>
    <n v="0"/>
  </r>
  <r>
    <s v="2023-15-12614"/>
    <x v="45"/>
    <s v="COMPLETE                                          "/>
    <x v="0"/>
    <s v="2-ANALYSIS OF COMPARABLE PROPERTIES               "/>
    <s v="16-32-420-028-0000"/>
    <n v="17999"/>
    <n v="17999"/>
    <x v="5"/>
    <x v="1"/>
    <n v="0"/>
  </r>
  <r>
    <s v="2023-15-12629"/>
    <x v="46"/>
    <s v="COMPLETE                                          "/>
    <x v="0"/>
    <s v="2-ANALYSIS OF COMPARABLE PROPERTIES               "/>
    <s v="16-32-421-014-0000"/>
    <n v="17999"/>
    <n v="17999"/>
    <x v="5"/>
    <x v="1"/>
    <n v="0"/>
  </r>
  <r>
    <s v="2023-15-12044"/>
    <x v="47"/>
    <s v="COMPLETE                                          "/>
    <x v="0"/>
    <s v="2-ANALYSIS OF COMPARABLE PROPERTIES               "/>
    <s v="16-22-302-022-0000"/>
    <n v="25999"/>
    <n v="25999"/>
    <x v="6"/>
    <x v="7"/>
    <n v="0"/>
  </r>
  <r>
    <s v="2023-15-12050"/>
    <x v="48"/>
    <s v="COMPLETE                                          "/>
    <x v="0"/>
    <s v="2-ANALYSIS OF COMPARABLE PROPERTIES               "/>
    <s v="16-29-222-036-0000"/>
    <n v="25999"/>
    <n v="25999"/>
    <x v="6"/>
    <x v="1"/>
    <n v="0"/>
  </r>
  <r>
    <s v="2023-15-12062"/>
    <x v="49"/>
    <s v="COMPLETE                                          "/>
    <x v="0"/>
    <s v="2-ANALYSIS OF COMPARABLE PROPERTIES               "/>
    <s v="16-29-120-035-0000"/>
    <n v="24000"/>
    <n v="24000"/>
    <x v="6"/>
    <x v="1"/>
    <n v="0"/>
  </r>
  <r>
    <s v="2023-15-12099"/>
    <x v="50"/>
    <s v="COMPLETE                                          "/>
    <x v="0"/>
    <s v="2-ANALYSIS OF COMPARABLE PROPERTIES               "/>
    <s v="16-28-128-014-0000"/>
    <n v="22999"/>
    <n v="22999"/>
    <x v="6"/>
    <x v="1"/>
    <n v="0"/>
  </r>
  <r>
    <s v="2023-15-12166"/>
    <x v="51"/>
    <s v="COMPLETE                                          "/>
    <x v="0"/>
    <s v="2-ANALYSIS OF COMPARABLE PROPERTIES               "/>
    <s v="16-21-407-001-0000"/>
    <n v="30000"/>
    <n v="30000"/>
    <x v="6"/>
    <x v="7"/>
    <n v="0"/>
  </r>
  <r>
    <s v="2023-15-12517"/>
    <x v="52"/>
    <s v="COMPLETE                                          "/>
    <x v="0"/>
    <s v="2-ANALYSIS OF COMPARABLE PROPERTIES               "/>
    <s v="16-28-110-033-0000"/>
    <n v="23999"/>
    <n v="23999"/>
    <x v="6"/>
    <x v="1"/>
    <n v="0"/>
  </r>
  <r>
    <s v="2023-15-12519"/>
    <x v="53"/>
    <s v="COMPLETE                                          "/>
    <x v="0"/>
    <s v="2-ANALYSIS OF COMPARABLE PROPERTIES               "/>
    <s v="16-21-423-002-0000"/>
    <n v="27999"/>
    <n v="27999"/>
    <x v="6"/>
    <x v="7"/>
    <n v="0"/>
  </r>
  <r>
    <s v="2023-15-12538"/>
    <x v="54"/>
    <s v="COMPLETE                                          "/>
    <x v="0"/>
    <s v="2-ANALYSIS OF COMPARABLE PROPERTIES               "/>
    <s v="16-22-304-013-0000"/>
    <n v="22999"/>
    <n v="22999"/>
    <x v="6"/>
    <x v="7"/>
    <n v="0"/>
  </r>
  <r>
    <s v="2023-15-12539"/>
    <x v="55"/>
    <s v="COMPLETE                                          "/>
    <x v="0"/>
    <s v="2-ANALYSIS OF COMPARABLE PROPERTIES               "/>
    <s v="16-28-113-024-0000"/>
    <n v="25999"/>
    <n v="25999"/>
    <x v="6"/>
    <x v="1"/>
    <n v="0"/>
  </r>
  <r>
    <s v="2023-15-12552"/>
    <x v="56"/>
    <s v="COMPLETE                                          "/>
    <x v="0"/>
    <s v="2-ANALYSIS OF COMPARABLE PROPERTIES               "/>
    <s v="16-21-407-015-0000"/>
    <n v="32299"/>
    <n v="32299"/>
    <x v="6"/>
    <x v="7"/>
    <n v="0"/>
  </r>
  <r>
    <s v="2023-15-12618"/>
    <x v="57"/>
    <s v="COMPLETE                                          "/>
    <x v="0"/>
    <s v="2-ANALYSIS OF COMPARABLE PROPERTIES               "/>
    <s v="16-21-429-017-0000"/>
    <n v="27000"/>
    <n v="27000"/>
    <x v="6"/>
    <x v="1"/>
    <n v="0"/>
  </r>
  <r>
    <s v="2023-15-12680"/>
    <x v="58"/>
    <s v="COMPLETE                                          "/>
    <x v="0"/>
    <s v="2-ANALYSIS OF COMPARABLE PROPERTIES               "/>
    <s v="16-29-211-007-0000"/>
    <n v="24092"/>
    <n v="24092"/>
    <x v="6"/>
    <x v="1"/>
    <n v="0"/>
  </r>
  <r>
    <s v="2023-15-12691"/>
    <x v="59"/>
    <s v="COMPLETE                                          "/>
    <x v="0"/>
    <s v="2-ANALYSIS OF COMPARABLE PROPERTIES               "/>
    <s v="16-28-120-016-0000"/>
    <n v="25999"/>
    <n v="25999"/>
    <x v="6"/>
    <x v="1"/>
    <n v="0"/>
  </r>
  <r>
    <s v="2023-15-12696"/>
    <x v="60"/>
    <s v="COMPLETE                                          "/>
    <x v="0"/>
    <s v="2-ANALYSIS OF COMPARABLE PROPERTIES               "/>
    <s v="16-29-113-009-0000"/>
    <n v="26000"/>
    <n v="26000"/>
    <x v="6"/>
    <x v="1"/>
    <n v="0"/>
  </r>
  <r>
    <s v="2023-11-13099"/>
    <x v="61"/>
    <s v="COMPLETE                                          "/>
    <x v="0"/>
    <s v="2-ANALYSIS OF COMPARABLE PROPERTIES               "/>
    <s v="16-32-302-031-0000"/>
    <n v="30999"/>
    <n v="30999"/>
    <x v="7"/>
    <x v="2"/>
    <n v="0"/>
  </r>
  <r>
    <s v="2023-15-12556"/>
    <x v="62"/>
    <s v="COMPLETE                                          "/>
    <x v="0"/>
    <s v="2-ANALYSIS OF COMPARABLE PROPERTIES               "/>
    <s v="16-21-221-035-0000"/>
    <n v="23999"/>
    <n v="23999"/>
    <x v="8"/>
    <x v="1"/>
    <n v="0"/>
  </r>
  <r>
    <s v="2023-15-12527"/>
    <x v="63"/>
    <s v="COMPLETE                                          "/>
    <x v="0"/>
    <s v="3-NO-COMPLY W BOR RULES, LACK OF EVIDENCE         "/>
    <s v="16-28-206-041-1001"/>
    <n v="9940"/>
    <n v="9940"/>
    <x v="9"/>
    <x v="7"/>
    <n v="0"/>
  </r>
  <r>
    <s v="2023-15-11544"/>
    <x v="64"/>
    <s v="COMPLETE                                          "/>
    <x v="0"/>
    <s v="1-COST, INCOME, MARKET DATA, APPRAISAL            "/>
    <s v="16-22-102-006-0000"/>
    <n v="13641"/>
    <n v="13641"/>
    <x v="10"/>
    <x v="1"/>
    <n v="0"/>
  </r>
  <r>
    <s v="2023-15-11544"/>
    <x v="64"/>
    <s v="COMPLETE                                          "/>
    <x v="0"/>
    <s v="1-COST, INCOME, MARKET DATA, APPRAISAL            "/>
    <s v="16-22-102-005-0000"/>
    <n v="13744"/>
    <n v="13744"/>
    <x v="10"/>
    <x v="1"/>
    <n v="0"/>
  </r>
  <r>
    <s v="2023-15-11544"/>
    <x v="64"/>
    <s v="COMPLETE                                          "/>
    <x v="0"/>
    <s v="1-COST, INCOME, MARKET DATA, APPRAISAL            "/>
    <s v="16-22-102-004-0000"/>
    <n v="13744"/>
    <n v="13744"/>
    <x v="10"/>
    <x v="1"/>
    <n v="0"/>
  </r>
  <r>
    <s v="2023-15-11544"/>
    <x v="64"/>
    <s v="COMPLETE                                          "/>
    <x v="0"/>
    <s v="1-COST, INCOME, MARKET DATA, APPRAISAL            "/>
    <s v="16-22-102-008-0000"/>
    <n v="14961"/>
    <n v="14961"/>
    <x v="11"/>
    <x v="1"/>
    <n v="0"/>
  </r>
  <r>
    <s v="2023-15-11544"/>
    <x v="64"/>
    <s v="COMPLETE                                          "/>
    <x v="0"/>
    <s v="1-COST, INCOME, MARKET DATA, APPRAISAL            "/>
    <s v="16-22-102-001-0000"/>
    <n v="21301"/>
    <n v="21301"/>
    <x v="11"/>
    <x v="1"/>
    <n v="0"/>
  </r>
  <r>
    <s v="2023-15-11544"/>
    <x v="64"/>
    <s v="COMPLETE                                          "/>
    <x v="0"/>
    <s v="1-COST, INCOME, MARKET DATA, APPRAISAL            "/>
    <s v="16-22-102-002-0000"/>
    <n v="15301"/>
    <n v="15301"/>
    <x v="11"/>
    <x v="1"/>
    <n v="0"/>
  </r>
  <r>
    <s v="2023-15-11544"/>
    <x v="64"/>
    <s v="COMPLETE                                          "/>
    <x v="0"/>
    <s v="1-COST, INCOME, MARKET DATA, APPRAISAL            "/>
    <s v="16-22-102-003-0000"/>
    <n v="15301"/>
    <n v="15301"/>
    <x v="11"/>
    <x v="1"/>
    <n v="0"/>
  </r>
  <r>
    <s v="2023-15-11544"/>
    <x v="64"/>
    <s v="COMPLETE                                          "/>
    <x v="0"/>
    <s v="1-COST, INCOME, MARKET DATA, APPRAISAL            "/>
    <s v="16-22-102-007-0000"/>
    <n v="15369"/>
    <n v="15369"/>
    <x v="11"/>
    <x v="1"/>
    <n v="0"/>
  </r>
  <r>
    <s v="2023-15-10470"/>
    <x v="65"/>
    <s v="COMPLETE                                          "/>
    <x v="1"/>
    <s v="2-ANALYSIS OF COMPARABLE PROPERTIES               "/>
    <s v="16-29-222-003-0000"/>
    <n v="2840"/>
    <n v="2828"/>
    <x v="12"/>
    <x v="1"/>
    <n v="12"/>
  </r>
  <r>
    <s v="2023-15-10470"/>
    <x v="66"/>
    <s v="COMPLETE                                          "/>
    <x v="1"/>
    <s v="2-ANALYSIS OF COMPARABLE PROPERTIES               "/>
    <s v="16-29-222-003-0000"/>
    <n v="2840"/>
    <n v="2828"/>
    <x v="12"/>
    <x v="1"/>
    <n v="12"/>
  </r>
  <r>
    <s v="2023-15-12169"/>
    <x v="67"/>
    <s v="COMPLETE                                          "/>
    <x v="1"/>
    <s v="2-ANALYSIS OF COMPARABLE PROPERTIES               "/>
    <s v="16-29-214-022-0000"/>
    <n v="17999"/>
    <n v="17460"/>
    <x v="1"/>
    <x v="1"/>
    <n v="539"/>
  </r>
  <r>
    <s v="2023-15-12280"/>
    <x v="68"/>
    <s v="COMPLETE                                          "/>
    <x v="1"/>
    <s v="2-ANALYSIS OF COMPARABLE PROPERTIES               "/>
    <s v="16-32-400-033-0000"/>
    <n v="17999"/>
    <n v="17439"/>
    <x v="3"/>
    <x v="1"/>
    <n v="560"/>
  </r>
  <r>
    <s v="2023-11-13107"/>
    <x v="69"/>
    <s v="COMPLETE                                          "/>
    <x v="1"/>
    <s v="2-ANALYSIS OF COMPARABLE PROPERTIES               "/>
    <s v="16-30-409-017-0000"/>
    <n v="21999"/>
    <n v="21435"/>
    <x v="0"/>
    <x v="2"/>
    <n v="564"/>
  </r>
  <r>
    <s v="2023-15-11743"/>
    <x v="70"/>
    <s v="COMPLETE                                          "/>
    <x v="1"/>
    <s v="2-ANALYSIS OF COMPARABLE PROPERTIES               "/>
    <s v="16-22-306-034-0000"/>
    <n v="16999"/>
    <n v="16363"/>
    <x v="1"/>
    <x v="7"/>
    <n v="636"/>
  </r>
  <r>
    <s v="2023-15-12150"/>
    <x v="71"/>
    <s v="COMPLETE                                          "/>
    <x v="1"/>
    <s v="2-ANALYSIS OF COMPARABLE PROPERTIES               "/>
    <s v="16-20-410-012-0000"/>
    <n v="21999"/>
    <n v="21287"/>
    <x v="2"/>
    <x v="1"/>
    <n v="712"/>
  </r>
  <r>
    <s v="2023-15-12096"/>
    <x v="72"/>
    <s v="COMPLETE                                          "/>
    <x v="1"/>
    <s v="2-ANALYSIS OF COMPARABLE PROPERTIES               "/>
    <s v="16-20-413-039-0000"/>
    <n v="18999"/>
    <n v="18277"/>
    <x v="1"/>
    <x v="1"/>
    <n v="722"/>
  </r>
  <r>
    <s v="2023-15-12718"/>
    <x v="73"/>
    <s v="COMPLETE                                          "/>
    <x v="1"/>
    <s v="2-ANALYSIS OF COMPARABLE PROPERTIES               "/>
    <s v="16-21-418-003-0000"/>
    <n v="24000"/>
    <n v="23262"/>
    <x v="1"/>
    <x v="1"/>
    <n v="738"/>
  </r>
  <r>
    <s v="2023-15-12132"/>
    <x v="74"/>
    <s v="COMPLETE                                          "/>
    <x v="1"/>
    <s v="2-ANALYSIS OF COMPARABLE PROPERTIES               "/>
    <s v="16-28-105-031-0000"/>
    <n v="16861"/>
    <n v="16109"/>
    <x v="0"/>
    <x v="1"/>
    <n v="752"/>
  </r>
  <r>
    <s v="2023-15-12697"/>
    <x v="75"/>
    <s v="COMPLETE                                          "/>
    <x v="1"/>
    <s v="2-ANALYSIS OF COMPARABLE PROPERTIES               "/>
    <s v="16-29-305-016-0000"/>
    <n v="11661"/>
    <n v="10831"/>
    <x v="1"/>
    <x v="1"/>
    <n v="830"/>
  </r>
  <r>
    <s v="2023-15-12697"/>
    <x v="76"/>
    <s v="COMPLETE                                          "/>
    <x v="1"/>
    <s v="2-ANALYSIS OF COMPARABLE PROPERTIES               "/>
    <s v="16-29-305-016-0000"/>
    <n v="11661"/>
    <n v="10831"/>
    <x v="1"/>
    <x v="1"/>
    <n v="830"/>
  </r>
  <r>
    <s v="2023-15-12697"/>
    <x v="75"/>
    <s v="COMPLETE                                          "/>
    <x v="1"/>
    <s v="2-ANALYSIS OF COMPARABLE PROPERTIES               "/>
    <s v="16-29-305-015-0000"/>
    <n v="12338"/>
    <n v="11507"/>
    <x v="1"/>
    <x v="1"/>
    <n v="831"/>
  </r>
  <r>
    <s v="2023-15-12697"/>
    <x v="76"/>
    <s v="COMPLETE                                          "/>
    <x v="1"/>
    <s v="2-ANALYSIS OF COMPARABLE PROPERTIES               "/>
    <s v="16-29-305-015-0000"/>
    <n v="12338"/>
    <n v="11507"/>
    <x v="1"/>
    <x v="1"/>
    <n v="831"/>
  </r>
  <r>
    <s v="2023-15-12612"/>
    <x v="77"/>
    <s v="COMPLETE                                          "/>
    <x v="1"/>
    <s v="2-ANALYSIS OF COMPARABLE PROPERTIES               "/>
    <s v="16-29-226-004-0000"/>
    <n v="18999"/>
    <n v="18161"/>
    <x v="1"/>
    <x v="1"/>
    <n v="838"/>
  </r>
  <r>
    <s v="2023-11-13105"/>
    <x v="78"/>
    <s v="COMPLETE                                          "/>
    <x v="1"/>
    <s v="2-ANALYSIS OF COMPARABLE PROPERTIES               "/>
    <s v="16-30-217-027-0000"/>
    <n v="22999"/>
    <n v="22147"/>
    <x v="1"/>
    <x v="2"/>
    <n v="852"/>
  </r>
  <r>
    <s v="2023-15-12279"/>
    <x v="79"/>
    <s v="COMPLETE                                          "/>
    <x v="1"/>
    <s v="2-ANALYSIS OF COMPARABLE PROPERTIES               "/>
    <s v="16-29-120-024-0000"/>
    <n v="21000"/>
    <n v="20147"/>
    <x v="1"/>
    <x v="1"/>
    <n v="853"/>
  </r>
  <r>
    <s v="2023-15-12113"/>
    <x v="80"/>
    <s v="COMPLETE                                          "/>
    <x v="1"/>
    <s v="2-ANALYSIS OF COMPARABLE PROPERTIES               "/>
    <s v="16-20-231-018-0000"/>
    <n v="16999"/>
    <n v="16128"/>
    <x v="0"/>
    <x v="1"/>
    <n v="871"/>
  </r>
  <r>
    <s v="2023-11-12513"/>
    <x v="81"/>
    <s v="COMPLETE                                          "/>
    <x v="1"/>
    <s v="1-COST, INCOME, MARKET DATA, APPRAISAL            "/>
    <s v="16-19-426-002-0000"/>
    <n v="29000"/>
    <n v="28085"/>
    <x v="6"/>
    <x v="3"/>
    <n v="915"/>
  </r>
  <r>
    <s v="2023-15-12772"/>
    <x v="82"/>
    <s v="COMPLETE                                          "/>
    <x v="1"/>
    <s v="2-ANALYSIS OF COMPARABLE PROPERTIES               "/>
    <s v="16-33-111-020-0000"/>
    <n v="18000"/>
    <n v="17073"/>
    <x v="7"/>
    <x v="0"/>
    <n v="927"/>
  </r>
  <r>
    <s v="2023-15-12276"/>
    <x v="83"/>
    <s v="COMPLETE                                          "/>
    <x v="1"/>
    <s v="2-ANALYSIS OF COMPARABLE PROPERTIES               "/>
    <s v="16-28-105-035-0000"/>
    <n v="20999"/>
    <n v="20028"/>
    <x v="1"/>
    <x v="1"/>
    <n v="971"/>
  </r>
  <r>
    <s v="2023-15-12541"/>
    <x v="84"/>
    <s v="COMPLETE                                          "/>
    <x v="1"/>
    <s v="2-ANALYSIS OF COMPARABLE PROPERTIES               "/>
    <s v="16-29-215-008-0000"/>
    <n v="16999"/>
    <n v="16008"/>
    <x v="0"/>
    <x v="1"/>
    <n v="991"/>
  </r>
  <r>
    <s v="2023-15-12705"/>
    <x v="85"/>
    <s v="COMPLETE                                          "/>
    <x v="1"/>
    <s v="2-ANALYSIS OF COMPARABLE PROPERTIES               "/>
    <s v="16-32-430-010-0000"/>
    <n v="17999"/>
    <n v="17000"/>
    <x v="5"/>
    <x v="1"/>
    <n v="999"/>
  </r>
  <r>
    <s v="2023-15-12065"/>
    <x v="86"/>
    <s v="COMPLETE                                          "/>
    <x v="1"/>
    <s v="2-ANALYSIS OF COMPARABLE PROPERTIES               "/>
    <s v="16-29-209-029-0000"/>
    <n v="14999"/>
    <n v="13999"/>
    <x v="0"/>
    <x v="1"/>
    <n v="1000"/>
  </r>
  <r>
    <s v="2023-15-12489"/>
    <x v="87"/>
    <s v="COMPLETE                                          "/>
    <x v="1"/>
    <s v="2-ANALYSIS OF COMPARABLE PROPERTIES               "/>
    <s v="16-33-110-046-0000"/>
    <n v="21999"/>
    <n v="20998"/>
    <x v="1"/>
    <x v="0"/>
    <n v="1001"/>
  </r>
  <r>
    <s v="2023-15-12651"/>
    <x v="88"/>
    <s v="COMPLETE                                          "/>
    <x v="1"/>
    <s v="2-ANALYSIS OF COMPARABLE PROPERTIES               "/>
    <s v="16-32-409-040-0000"/>
    <n v="18999"/>
    <n v="17996"/>
    <x v="3"/>
    <x v="1"/>
    <n v="1003"/>
  </r>
  <r>
    <s v="2023-15-12550"/>
    <x v="89"/>
    <s v="COMPLETE                                          "/>
    <x v="1"/>
    <s v="2-ANALYSIS OF COMPARABLE PROPERTIES               "/>
    <s v="16-22-302-032-0000"/>
    <n v="16999"/>
    <n v="15995"/>
    <x v="0"/>
    <x v="7"/>
    <n v="1004"/>
  </r>
  <r>
    <s v="2023-15-12164"/>
    <x v="90"/>
    <s v="COMPLETE                                          "/>
    <x v="1"/>
    <s v="2-ANALYSIS OF COMPARABLE PROPERTIES               "/>
    <s v="16-33-311-030-0000"/>
    <n v="19999"/>
    <n v="18933"/>
    <x v="7"/>
    <x v="0"/>
    <n v="1066"/>
  </r>
  <r>
    <s v="2023-15-12426"/>
    <x v="91"/>
    <s v="COMPLETE                                          "/>
    <x v="1"/>
    <s v="2-ANALYSIS OF COMPARABLE PROPERTIES               "/>
    <s v="16-29-227-003-0000"/>
    <n v="11999"/>
    <n v="10932"/>
    <x v="0"/>
    <x v="1"/>
    <n v="1067"/>
  </r>
  <r>
    <s v="2023-15-12406"/>
    <x v="92"/>
    <s v="COMPLETE                                          "/>
    <x v="1"/>
    <s v="2-ANALYSIS OF COMPARABLE PROPERTIES               "/>
    <s v="16-29-106-019-0000"/>
    <n v="22999"/>
    <n v="21929"/>
    <x v="1"/>
    <x v="1"/>
    <n v="1070"/>
  </r>
  <r>
    <s v="2023-15-12258"/>
    <x v="93"/>
    <s v="COMPLETE                                          "/>
    <x v="1"/>
    <s v="2-ANALYSIS OF COMPARABLE PROPERTIES               "/>
    <s v="16-21-424-016-0000"/>
    <n v="24000"/>
    <n v="22899"/>
    <x v="6"/>
    <x v="1"/>
    <n v="1101"/>
  </r>
  <r>
    <s v="2023-15-12569"/>
    <x v="94"/>
    <s v="COMPLETE                                          "/>
    <x v="1"/>
    <s v="2-ANALYSIS OF COMPARABLE PROPERTIES               "/>
    <s v="16-33-302-040-0000"/>
    <n v="19999"/>
    <n v="18869"/>
    <x v="0"/>
    <x v="0"/>
    <n v="1130"/>
  </r>
  <r>
    <s v="2023-15-12676"/>
    <x v="95"/>
    <s v="COMPLETE                                          "/>
    <x v="1"/>
    <s v="2-ANALYSIS OF COMPARABLE PROPERTIES               "/>
    <s v="16-29-405-003-0000"/>
    <n v="24999"/>
    <n v="23824"/>
    <x v="3"/>
    <x v="1"/>
    <n v="1175"/>
  </r>
  <r>
    <s v="2023-15-12294"/>
    <x v="96"/>
    <s v="COMPLETE                                          "/>
    <x v="1"/>
    <s v="2-ANALYSIS OF COMPARABLE PROPERTIES               "/>
    <s v="16-28-111-009-0000"/>
    <n v="19999"/>
    <n v="18780"/>
    <x v="1"/>
    <x v="1"/>
    <n v="1219"/>
  </r>
  <r>
    <s v="2023-15-12101"/>
    <x v="97"/>
    <s v="COMPLETE                                          "/>
    <x v="1"/>
    <s v="2-ANALYSIS OF COMPARABLE PROPERTIES               "/>
    <s v="16-21-101-022-0000"/>
    <n v="18999"/>
    <n v="17765"/>
    <x v="0"/>
    <x v="1"/>
    <n v="1234"/>
  </r>
  <r>
    <s v="2023-15-12295"/>
    <x v="98"/>
    <s v="COMPLETE                                          "/>
    <x v="1"/>
    <s v="2-ANALYSIS OF COMPARABLE PROPERTIES               "/>
    <s v="16-28-114-002-0000"/>
    <n v="20999"/>
    <n v="19758"/>
    <x v="1"/>
    <x v="1"/>
    <n v="1241"/>
  </r>
  <r>
    <s v="2023-15-12103"/>
    <x v="99"/>
    <s v="COMPLETE                                          "/>
    <x v="1"/>
    <s v="2-ANALYSIS OF COMPARABLE PROPERTIES               "/>
    <s v="16-20-217-004-0000"/>
    <n v="18999"/>
    <n v="17757"/>
    <x v="1"/>
    <x v="1"/>
    <n v="1242"/>
  </r>
  <r>
    <s v="2023-15-12558"/>
    <x v="100"/>
    <s v="COMPLETE                                          "/>
    <x v="1"/>
    <s v="2-ANALYSIS OF COMPARABLE PROPERTIES               "/>
    <s v="16-21-216-014-0000"/>
    <n v="17999"/>
    <n v="16747"/>
    <x v="1"/>
    <x v="8"/>
    <n v="1252"/>
  </r>
  <r>
    <s v="2023-15-10470"/>
    <x v="65"/>
    <s v="COMPLETE                                          "/>
    <x v="1"/>
    <s v="2-ANALYSIS OF COMPARABLE PROPERTIES               "/>
    <s v="16-29-222-002-0000"/>
    <n v="16999"/>
    <n v="15741"/>
    <x v="1"/>
    <x v="1"/>
    <n v="1258"/>
  </r>
  <r>
    <s v="2023-15-10470"/>
    <x v="66"/>
    <s v="COMPLETE                                          "/>
    <x v="1"/>
    <s v="2-ANALYSIS OF COMPARABLE PROPERTIES               "/>
    <s v="16-29-222-002-0000"/>
    <n v="16999"/>
    <n v="15741"/>
    <x v="1"/>
    <x v="1"/>
    <n v="1258"/>
  </r>
  <r>
    <s v="2023-15-12488"/>
    <x v="101"/>
    <s v="COMPLETE                                          "/>
    <x v="1"/>
    <s v="2-ANALYSIS OF COMPARABLE PROPERTIES               "/>
    <s v="16-32-219-010-0000"/>
    <n v="21999"/>
    <n v="20740"/>
    <x v="1"/>
    <x v="1"/>
    <n v="1259"/>
  </r>
  <r>
    <s v="2023-15-12266"/>
    <x v="102"/>
    <s v="COMPLETE                                          "/>
    <x v="1"/>
    <s v="2-ANALYSIS OF COMPARABLE PROPERTIES               "/>
    <s v="16-33-304-022-0000"/>
    <n v="19999"/>
    <n v="18734"/>
    <x v="1"/>
    <x v="0"/>
    <n v="1265"/>
  </r>
  <r>
    <s v="2023-15-12305"/>
    <x v="103"/>
    <s v="COMPLETE                                          "/>
    <x v="1"/>
    <s v="2-ANALYSIS OF COMPARABLE PROPERTIES               "/>
    <s v="16-33-203-020-0000"/>
    <n v="18999"/>
    <n v="17728"/>
    <x v="1"/>
    <x v="0"/>
    <n v="1271"/>
  </r>
  <r>
    <s v="2023-15-12505"/>
    <x v="104"/>
    <s v="COMPLETE                                          "/>
    <x v="1"/>
    <s v="2-ANALYSIS OF COMPARABLE PROPERTIES               "/>
    <s v="16-20-326-017-0000"/>
    <n v="28999"/>
    <n v="27728"/>
    <x v="6"/>
    <x v="1"/>
    <n v="1271"/>
  </r>
  <r>
    <s v="2023-15-12709"/>
    <x v="105"/>
    <s v="COMPLETE                                          "/>
    <x v="1"/>
    <s v="2-ANALYSIS OF COMPARABLE PROPERTIES               "/>
    <s v="16-29-220-014-0000"/>
    <n v="21999"/>
    <n v="20717"/>
    <x v="1"/>
    <x v="1"/>
    <n v="1282"/>
  </r>
  <r>
    <s v="2023-15-12125"/>
    <x v="106"/>
    <s v="COMPLETE                                          "/>
    <x v="1"/>
    <s v="2-ANALYSIS OF COMPARABLE PROPERTIES               "/>
    <s v="16-29-220-010-0000"/>
    <n v="17999"/>
    <n v="16702"/>
    <x v="1"/>
    <x v="1"/>
    <n v="1297"/>
  </r>
  <r>
    <s v="2023-15-12792"/>
    <x v="107"/>
    <s v="COMPLETE                                          "/>
    <x v="1"/>
    <s v="2-ANALYSIS OF COMPARABLE PROPERTIES               "/>
    <s v="16-33-302-042-0000"/>
    <n v="22999"/>
    <n v="21687"/>
    <x v="1"/>
    <x v="0"/>
    <n v="1312"/>
  </r>
  <r>
    <s v="2023-15-10175"/>
    <x v="108"/>
    <s v="COMPLETE                                          "/>
    <x v="1"/>
    <s v="2-ANALYSIS OF COMPARABLE PROPERTIES               "/>
    <s v="16-20-203-036-0000"/>
    <n v="17999"/>
    <n v="16678"/>
    <x v="1"/>
    <x v="1"/>
    <n v="1321"/>
  </r>
  <r>
    <s v="2023-15-12672"/>
    <x v="109"/>
    <s v="COMPLETE                                          "/>
    <x v="1"/>
    <s v="2-ANALYSIS OF COMPARABLE PROPERTIES               "/>
    <s v="16-20-218-017-0000"/>
    <n v="20955"/>
    <n v="19590"/>
    <x v="1"/>
    <x v="1"/>
    <n v="1365"/>
  </r>
  <r>
    <s v="2023-15-12700"/>
    <x v="110"/>
    <s v="COMPLETE                                          "/>
    <x v="1"/>
    <s v="2-ANALYSIS OF COMPARABLE PROPERTIES               "/>
    <s v="16-20-315-015-0000"/>
    <n v="20999"/>
    <n v="19627"/>
    <x v="1"/>
    <x v="1"/>
    <n v="1372"/>
  </r>
  <r>
    <s v="2023-15-12088"/>
    <x v="111"/>
    <s v="COMPLETE                                          "/>
    <x v="1"/>
    <s v="2-ANALYSIS OF COMPARABLE PROPERTIES               "/>
    <s v="16-32-409-014-0000"/>
    <n v="24999"/>
    <n v="23585"/>
    <x v="3"/>
    <x v="1"/>
    <n v="1414"/>
  </r>
  <r>
    <s v="2023-15-12248"/>
    <x v="112"/>
    <s v="COMPLETE                                          "/>
    <x v="1"/>
    <s v="2-ANALYSIS OF COMPARABLE PROPERTIES               "/>
    <s v="16-33-310-010-0000"/>
    <n v="20999"/>
    <n v="19584"/>
    <x v="1"/>
    <x v="0"/>
    <n v="1415"/>
  </r>
  <r>
    <s v="2023-11-11051"/>
    <x v="113"/>
    <s v="COMPLETE                                          "/>
    <x v="1"/>
    <s v="2-ANALYSIS OF COMPARABLE PROPERTIES               "/>
    <s v="16-19-225-045-0000"/>
    <n v="25999"/>
    <n v="24580"/>
    <x v="6"/>
    <x v="3"/>
    <n v="1419"/>
  </r>
  <r>
    <s v="2023-15-12105"/>
    <x v="114"/>
    <s v="COMPLETE                                          "/>
    <x v="1"/>
    <s v="2-ANALYSIS OF COMPARABLE PROPERTIES               "/>
    <s v="16-21-209-002-0000"/>
    <n v="21575"/>
    <n v="20147"/>
    <x v="6"/>
    <x v="1"/>
    <n v="1428"/>
  </r>
  <r>
    <s v="2023-15-12616"/>
    <x v="115"/>
    <s v="COMPLETE                                          "/>
    <x v="1"/>
    <s v="2-ANALYSIS OF COMPARABLE PROPERTIES               "/>
    <s v="16-20-405-032-0000"/>
    <n v="23999"/>
    <n v="22566"/>
    <x v="1"/>
    <x v="1"/>
    <n v="1433"/>
  </r>
  <r>
    <s v="2023-11-12642"/>
    <x v="116"/>
    <s v="COMPLETE                                          "/>
    <x v="1"/>
    <s v="2-ANALYSIS OF COMPARABLE PROPERTIES               "/>
    <s v="16-19-225-011-0000"/>
    <n v="23999"/>
    <n v="22524"/>
    <x v="1"/>
    <x v="3"/>
    <n v="1475"/>
  </r>
  <r>
    <s v="2023-15-12037"/>
    <x v="117"/>
    <s v="COMPLETE                                          "/>
    <x v="1"/>
    <s v="2-ANALYSIS OF COMPARABLE PROPERTIES               "/>
    <s v="16-20-129-019-0000"/>
    <n v="18999"/>
    <n v="17524"/>
    <x v="1"/>
    <x v="1"/>
    <n v="1475"/>
  </r>
  <r>
    <s v="2023-15-12102"/>
    <x v="118"/>
    <s v="COMPLETE                                          "/>
    <x v="1"/>
    <s v="2-ANALYSIS OF COMPARABLE PROPERTIES               "/>
    <s v="16-21-210-041-0000"/>
    <n v="25999"/>
    <n v="24520"/>
    <x v="6"/>
    <x v="1"/>
    <n v="1479"/>
  </r>
  <r>
    <s v="2023-15-12311"/>
    <x v="119"/>
    <s v="COMPLETE                                          "/>
    <x v="1"/>
    <s v="2-ANALYSIS OF COMPARABLE PROPERTIES               "/>
    <s v="16-29-115-022-0000"/>
    <n v="27999"/>
    <n v="26500"/>
    <x v="6"/>
    <x v="1"/>
    <n v="1499"/>
  </r>
  <r>
    <s v="2023-15-12733"/>
    <x v="120"/>
    <s v="COMPLETE                                          "/>
    <x v="1"/>
    <s v="2-ANALYSIS OF COMPARABLE PROPERTIES               "/>
    <s v="16-33-321-044-0000"/>
    <n v="18999"/>
    <n v="17475"/>
    <x v="7"/>
    <x v="0"/>
    <n v="1524"/>
  </r>
  <r>
    <s v="2023-15-12588"/>
    <x v="121"/>
    <s v="COMPLETE                                          "/>
    <x v="1"/>
    <s v="2-ANALYSIS OF COMPARABLE PROPERTIES               "/>
    <s v="16-32-135-053-0000"/>
    <n v="20999"/>
    <n v="19439"/>
    <x v="3"/>
    <x v="1"/>
    <n v="1560"/>
  </r>
  <r>
    <s v="2023-15-12521"/>
    <x v="122"/>
    <s v="COMPLETE                                          "/>
    <x v="1"/>
    <s v="2-ANALYSIS OF COMPARABLE PROPERTIES               "/>
    <s v="16-21-417-030-0000"/>
    <n v="29000"/>
    <n v="27430"/>
    <x v="6"/>
    <x v="1"/>
    <n v="1570"/>
  </r>
  <r>
    <s v="2023-15-12579"/>
    <x v="123"/>
    <s v="COMPLETE                                          "/>
    <x v="1"/>
    <s v="2-ANALYSIS OF COMPARABLE PROPERTIES               "/>
    <s v="16-20-120-028-0000"/>
    <n v="18999"/>
    <n v="17423"/>
    <x v="1"/>
    <x v="1"/>
    <n v="1576"/>
  </r>
  <r>
    <s v="2023-15-12336"/>
    <x v="124"/>
    <s v="COMPLETE                                          "/>
    <x v="1"/>
    <s v="2-ANALYSIS OF COMPARABLE PROPERTIES               "/>
    <s v="16-20-313-024-0000"/>
    <n v="19999"/>
    <n v="18403"/>
    <x v="1"/>
    <x v="1"/>
    <n v="1596"/>
  </r>
  <r>
    <s v="2023-11-12688"/>
    <x v="125"/>
    <s v="COMPLETE                                          "/>
    <x v="1"/>
    <s v="2-ANALYSIS OF COMPARABLE PROPERTIES               "/>
    <s v="16-19-309-019-0000"/>
    <n v="28000"/>
    <n v="26401"/>
    <x v="3"/>
    <x v="3"/>
    <n v="1599"/>
  </r>
  <r>
    <s v="2023-15-12124"/>
    <x v="126"/>
    <s v="COMPLETE                                          "/>
    <x v="1"/>
    <s v="2-ANALYSIS OF COMPARABLE PROPERTIES               "/>
    <s v="16-29-404-035-0000"/>
    <n v="21999"/>
    <n v="20388"/>
    <x v="1"/>
    <x v="1"/>
    <n v="1611"/>
  </r>
  <r>
    <s v="2023-15-12247"/>
    <x v="127"/>
    <s v="COMPLETE                                          "/>
    <x v="1"/>
    <s v="2-ANALYSIS OF COMPARABLE PROPERTIES               "/>
    <s v="16-20-221-009-0000"/>
    <n v="17999"/>
    <n v="16388"/>
    <x v="1"/>
    <x v="1"/>
    <n v="1611"/>
  </r>
  <r>
    <s v="2023-15-12052"/>
    <x v="128"/>
    <s v="COMPLETE                                          "/>
    <x v="1"/>
    <s v="2-ANALYSIS OF COMPARABLE PROPERTIES               "/>
    <s v="16-29-227-030-0000"/>
    <n v="17999"/>
    <n v="16366"/>
    <x v="0"/>
    <x v="1"/>
    <n v="1633"/>
  </r>
  <r>
    <s v="2023-15-12360"/>
    <x v="129"/>
    <s v="COMPLETE                                          "/>
    <x v="1"/>
    <s v="2-ANALYSIS OF COMPARABLE PROPERTIES               "/>
    <s v="16-21-100-010-0000"/>
    <n v="23999"/>
    <n v="22364"/>
    <x v="1"/>
    <x v="1"/>
    <n v="1635"/>
  </r>
  <r>
    <s v="2023-15-12239"/>
    <x v="130"/>
    <s v="COMPLETE                                          "/>
    <x v="1"/>
    <s v="2-ANALYSIS OF COMPARABLE PROPERTIES               "/>
    <s v="16-20-230-005-0000"/>
    <n v="23000"/>
    <n v="21360"/>
    <x v="1"/>
    <x v="1"/>
    <n v="1640"/>
  </r>
  <r>
    <s v="2023-15-11389"/>
    <x v="131"/>
    <s v="COMPLETE                                          "/>
    <x v="1"/>
    <s v="2-ANALYSIS OF COMPARABLE PROPERTIES               "/>
    <s v="16-28-217-013-0000"/>
    <n v="23999"/>
    <n v="22354"/>
    <x v="6"/>
    <x v="1"/>
    <n v="1645"/>
  </r>
  <r>
    <s v="2023-15-12559"/>
    <x v="132"/>
    <s v="COMPLETE                                          "/>
    <x v="1"/>
    <s v="2-ANALYSIS OF COMPARABLE PROPERTIES               "/>
    <s v="16-32-418-033-0000"/>
    <n v="20999"/>
    <n v="19347"/>
    <x v="5"/>
    <x v="1"/>
    <n v="1652"/>
  </r>
  <r>
    <s v="2023-15-12576"/>
    <x v="133"/>
    <s v="COMPLETE                                          "/>
    <x v="1"/>
    <s v="2-ANALYSIS OF COMPARABLE PROPERTIES               "/>
    <s v="16-20-430-001-0000"/>
    <n v="25999"/>
    <n v="24329"/>
    <x v="6"/>
    <x v="1"/>
    <n v="1670"/>
  </r>
  <r>
    <s v="2023-15-12731"/>
    <x v="134"/>
    <s v="COMPLETE                                          "/>
    <x v="1"/>
    <s v="2-ANALYSIS OF COMPARABLE PROPERTIES               "/>
    <s v="16-21-301-012-0000"/>
    <n v="21999"/>
    <n v="20318"/>
    <x v="3"/>
    <x v="1"/>
    <n v="1681"/>
  </r>
  <r>
    <s v="2023-15-12175"/>
    <x v="135"/>
    <s v="COMPLETE                                          "/>
    <x v="1"/>
    <s v="2-ANALYSIS OF COMPARABLE PROPERTIES               "/>
    <s v="16-21-425-005-0000"/>
    <n v="28000"/>
    <n v="26265"/>
    <x v="6"/>
    <x v="1"/>
    <n v="1735"/>
  </r>
  <r>
    <s v="2023-15-12221"/>
    <x v="136"/>
    <s v="COMPLETE                                          "/>
    <x v="1"/>
    <s v="2-ANALYSIS OF COMPARABLE PROPERTIES               "/>
    <s v="16-29-404-015-0000"/>
    <n v="20999"/>
    <n v="19247"/>
    <x v="1"/>
    <x v="1"/>
    <n v="1752"/>
  </r>
  <r>
    <s v="2023-15-12504"/>
    <x v="137"/>
    <s v="COMPLETE                                          "/>
    <x v="1"/>
    <s v="2-ANALYSIS OF COMPARABLE PROPERTIES               "/>
    <s v="16-20-419-034-0000"/>
    <n v="16999"/>
    <n v="15235"/>
    <x v="1"/>
    <x v="1"/>
    <n v="1764"/>
  </r>
  <r>
    <s v="2023-15-12674"/>
    <x v="138"/>
    <s v="COMPLETE                                          "/>
    <x v="1"/>
    <s v="2-ANALYSIS OF COMPARABLE PROPERTIES               "/>
    <s v="16-29-219-004-0000"/>
    <n v="19999"/>
    <n v="18224"/>
    <x v="1"/>
    <x v="1"/>
    <n v="1775"/>
  </r>
  <r>
    <s v="2023-11-12593"/>
    <x v="139"/>
    <s v="COMPLETE                                          "/>
    <x v="1"/>
    <s v="2-ANALYSIS OF COMPARABLE PROPERTIES               "/>
    <s v="16-32-118-002-0000"/>
    <n v="25000"/>
    <n v="23223"/>
    <x v="3"/>
    <x v="2"/>
    <n v="1777"/>
  </r>
  <r>
    <s v="2023-15-12264"/>
    <x v="140"/>
    <s v="COMPLETE                                          "/>
    <x v="1"/>
    <s v="2-ANALYSIS OF COMPARABLE PROPERTIES               "/>
    <s v="16-20-203-034-0000"/>
    <n v="24999"/>
    <n v="23214"/>
    <x v="2"/>
    <x v="1"/>
    <n v="1785"/>
  </r>
  <r>
    <s v="2023-15-12759"/>
    <x v="141"/>
    <s v="COMPLETE                                          "/>
    <x v="1"/>
    <s v="2-ANALYSIS OF COMPARABLE PROPERTIES               "/>
    <s v="16-33-329-004-0000"/>
    <n v="21999"/>
    <n v="20210"/>
    <x v="0"/>
    <x v="0"/>
    <n v="1789"/>
  </r>
  <r>
    <s v="2023-15-12116"/>
    <x v="142"/>
    <s v="COMPLETE                                          "/>
    <x v="1"/>
    <s v="2-ANALYSIS OF COMPARABLE PROPERTIES               "/>
    <s v="16-20-413-011-0000"/>
    <n v="22999"/>
    <n v="21191"/>
    <x v="1"/>
    <x v="1"/>
    <n v="1808"/>
  </r>
  <r>
    <s v="2023-27-14951"/>
    <x v="143"/>
    <s v="COMPLETE                                          "/>
    <x v="1"/>
    <s v="2-ANALYSIS OF COMPARABLE PROPERTIES               "/>
    <s v="16-05-120-001-0000"/>
    <n v="28999"/>
    <n v="27188"/>
    <x v="1"/>
    <x v="5"/>
    <n v="1811"/>
  </r>
  <r>
    <s v="2023-11-12161"/>
    <x v="144"/>
    <s v="COMPLETE                                          "/>
    <x v="1"/>
    <s v="2-ANALYSIS OF COMPARABLE PROPERTIES               "/>
    <s v="16-30-111-013-0000"/>
    <n v="22999"/>
    <n v="21178"/>
    <x v="1"/>
    <x v="2"/>
    <n v="1821"/>
  </r>
  <r>
    <s v="2023-15-12027"/>
    <x v="145"/>
    <s v="COMPLETE                                          "/>
    <x v="1"/>
    <s v="2-ANALYSIS OF COMPARABLE PROPERTIES               "/>
    <s v="16-28-414-003-0000"/>
    <n v="21999"/>
    <n v="20163"/>
    <x v="1"/>
    <x v="4"/>
    <n v="1836"/>
  </r>
  <r>
    <s v="2023-15-12675"/>
    <x v="146"/>
    <s v="COMPLETE                                          "/>
    <x v="1"/>
    <s v="2-ANALYSIS OF COMPARABLE PROPERTIES               "/>
    <s v="16-20-419-011-0000"/>
    <n v="17999"/>
    <n v="16157"/>
    <x v="1"/>
    <x v="1"/>
    <n v="1842"/>
  </r>
  <r>
    <s v="2023-11-11053"/>
    <x v="147"/>
    <s v="COMPLETE                                          "/>
    <x v="1"/>
    <s v="2-ANALYSIS OF COMPARABLE PROPERTIES               "/>
    <s v="16-30-408-040-0000"/>
    <n v="24000"/>
    <n v="22156"/>
    <x v="1"/>
    <x v="2"/>
    <n v="1844"/>
  </r>
  <r>
    <s v="2023-15-12797"/>
    <x v="148"/>
    <s v="COMPLETE                                          "/>
    <x v="1"/>
    <s v="2-ANALYSIS OF COMPARABLE PROPERTIES               "/>
    <s v="16-28-414-044-0000"/>
    <n v="16999"/>
    <n v="15153"/>
    <x v="1"/>
    <x v="4"/>
    <n v="1846"/>
  </r>
  <r>
    <s v="2023-15-12100"/>
    <x v="149"/>
    <s v="COMPLETE                                          "/>
    <x v="1"/>
    <s v="2-ANALYSIS OF COMPARABLE PROPERTIES               "/>
    <s v="16-20-426-020-0000"/>
    <n v="27999"/>
    <n v="26124"/>
    <x v="6"/>
    <x v="1"/>
    <n v="1875"/>
  </r>
  <r>
    <s v="2023-15-12268"/>
    <x v="150"/>
    <s v="COMPLETE                                          "/>
    <x v="1"/>
    <s v="2-ANALYSIS OF COMPARABLE PROPERTIES               "/>
    <s v="16-21-400-028-0000"/>
    <n v="27000"/>
    <n v="25109"/>
    <x v="6"/>
    <x v="1"/>
    <n v="1891"/>
  </r>
  <r>
    <s v="2023-15-12238"/>
    <x v="151"/>
    <s v="COMPLETE                                          "/>
    <x v="1"/>
    <s v="2-ANALYSIS OF COMPARABLE PROPERTIES               "/>
    <s v="16-20-204-016-0000"/>
    <n v="16999"/>
    <n v="15107"/>
    <x v="1"/>
    <x v="1"/>
    <n v="1892"/>
  </r>
  <r>
    <s v="2023-15-12722"/>
    <x v="152"/>
    <s v="COMPLETE                                          "/>
    <x v="1"/>
    <s v="2-ANALYSIS OF COMPARABLE PROPERTIES               "/>
    <s v="16-20-427-019-0000"/>
    <n v="24999"/>
    <n v="23097"/>
    <x v="1"/>
    <x v="1"/>
    <n v="1902"/>
  </r>
  <r>
    <s v="2023-15-10473"/>
    <x v="153"/>
    <s v="COMPLETE                                          "/>
    <x v="1"/>
    <s v="2-ANALYSIS OF COMPARABLE PROPERTIES               "/>
    <s v="16-21-422-032-0000"/>
    <n v="29000"/>
    <n v="27097"/>
    <x v="6"/>
    <x v="1"/>
    <n v="1903"/>
  </r>
  <r>
    <s v="2023-15-12090"/>
    <x v="154"/>
    <s v="COMPLETE                                          "/>
    <x v="1"/>
    <s v="2-ANALYSIS OF COMPARABLE PROPERTIES               "/>
    <s v="16-21-419-006-0000"/>
    <n v="29000"/>
    <n v="27084"/>
    <x v="3"/>
    <x v="1"/>
    <n v="1916"/>
  </r>
  <r>
    <s v="2023-15-12151"/>
    <x v="155"/>
    <s v="COMPLETE                                          "/>
    <x v="1"/>
    <s v="2-ANALYSIS OF COMPARABLE PROPERTIES               "/>
    <s v="16-29-215-016-0000"/>
    <n v="18999"/>
    <n v="17070"/>
    <x v="0"/>
    <x v="1"/>
    <n v="1929"/>
  </r>
  <r>
    <s v="2023-15-12544"/>
    <x v="156"/>
    <s v="COMPLETE                                          "/>
    <x v="1"/>
    <s v="2-ANALYSIS OF COMPARABLE PROPERTIES               "/>
    <s v="16-22-306-027-0000"/>
    <n v="25999"/>
    <n v="24067"/>
    <x v="6"/>
    <x v="7"/>
    <n v="1932"/>
  </r>
  <r>
    <s v="2023-15-12407"/>
    <x v="157"/>
    <s v="COMPLETE                                          "/>
    <x v="1"/>
    <s v="2-ANALYSIS OF COMPARABLE PROPERTIES               "/>
    <s v="16-33-329-030-0000"/>
    <n v="21999"/>
    <n v="20064"/>
    <x v="0"/>
    <x v="0"/>
    <n v="1935"/>
  </r>
  <r>
    <s v="2023-15-12155"/>
    <x v="158"/>
    <s v="COMPLETE                                          "/>
    <x v="1"/>
    <s v="2-ANALYSIS OF COMPARABLE PROPERTIES               "/>
    <s v="16-22-100-030-0000"/>
    <n v="27999"/>
    <n v="26060"/>
    <x v="6"/>
    <x v="1"/>
    <n v="1939"/>
  </r>
  <r>
    <s v="2023-15-12303"/>
    <x v="159"/>
    <s v="COMPLETE                                          "/>
    <x v="1"/>
    <s v="2-ANALYSIS OF COMPARABLE PROPERTIES               "/>
    <s v="16-20-305-024-0000"/>
    <n v="26999"/>
    <n v="25025"/>
    <x v="6"/>
    <x v="1"/>
    <n v="1974"/>
  </r>
  <r>
    <s v="2023-15-12637"/>
    <x v="160"/>
    <s v="COMPLETE                                          "/>
    <x v="1"/>
    <s v="2-ANALYSIS OF COMPARABLE PROPERTIES               "/>
    <s v="16-29-208-005-0000"/>
    <n v="25999"/>
    <n v="24022"/>
    <x v="2"/>
    <x v="1"/>
    <n v="1977"/>
  </r>
  <r>
    <s v="2023-15-12620"/>
    <x v="161"/>
    <s v="COMPLETE                                          "/>
    <x v="1"/>
    <s v="2-ANALYSIS OF COMPARABLE PROPERTIES               "/>
    <s v="16-33-211-019-0000"/>
    <n v="16999"/>
    <n v="14998"/>
    <x v="0"/>
    <x v="0"/>
    <n v="2001"/>
  </r>
  <r>
    <s v="2023-11-13495"/>
    <x v="162"/>
    <s v="COMPLETE                                          "/>
    <x v="1"/>
    <s v="2-ANALYSIS OF COMPARABLE PROPERTIES               "/>
    <s v="16-30-114-032-0000"/>
    <n v="22000"/>
    <n v="19998"/>
    <x v="1"/>
    <x v="2"/>
    <n v="2002"/>
  </r>
  <r>
    <s v="2023-15-12043"/>
    <x v="163"/>
    <s v="COMPLETE                                          "/>
    <x v="1"/>
    <s v="2-ANALYSIS OF COMPARABLE PROPERTIES               "/>
    <s v="16-28-128-034-0000"/>
    <n v="20999"/>
    <n v="18990"/>
    <x v="1"/>
    <x v="1"/>
    <n v="2009"/>
  </r>
  <r>
    <s v="2023-15-12671"/>
    <x v="164"/>
    <s v="COMPLETE                                          "/>
    <x v="1"/>
    <s v="2-ANALYSIS OF COMPARABLE PROPERTIES               "/>
    <s v="16-21-100-043-0000"/>
    <n v="42999"/>
    <n v="40988"/>
    <x v="6"/>
    <x v="1"/>
    <n v="2011"/>
  </r>
  <r>
    <s v="2023-15-12758"/>
    <x v="165"/>
    <s v="COMPLETE                                          "/>
    <x v="1"/>
    <s v="2-ANALYSIS OF COMPARABLE PROPERTIES               "/>
    <s v="16-28-414-009-0000"/>
    <n v="19999"/>
    <n v="17973"/>
    <x v="1"/>
    <x v="4"/>
    <n v="2026"/>
  </r>
  <r>
    <s v="2023-15-12196"/>
    <x v="166"/>
    <s v="COMPLETE                                          "/>
    <x v="1"/>
    <s v="2-ANALYSIS OF COMPARABLE PROPERTIES               "/>
    <s v="16-33-216-021-0000"/>
    <n v="25999"/>
    <n v="23959"/>
    <x v="13"/>
    <x v="0"/>
    <n v="2040"/>
  </r>
  <r>
    <s v="2023-15-12319"/>
    <x v="167"/>
    <s v="COMPLETE                                          "/>
    <x v="1"/>
    <s v="2-ANALYSIS OF COMPARABLE PROPERTIES               "/>
    <s v="16-22-308-015-0000"/>
    <n v="29999"/>
    <n v="27937"/>
    <x v="6"/>
    <x v="7"/>
    <n v="2062"/>
  </r>
  <r>
    <s v="2023-15-12708"/>
    <x v="168"/>
    <s v="COMPLETE                                          "/>
    <x v="1"/>
    <s v="1-COST, INCOME, MARKET DATA, APPRAISAL            "/>
    <s v="16-20-431-010-0000"/>
    <n v="28999"/>
    <n v="26930"/>
    <x v="6"/>
    <x v="1"/>
    <n v="2069"/>
  </r>
  <r>
    <s v="2023-15-12130"/>
    <x v="169"/>
    <s v="COMPLETE                                          "/>
    <x v="1"/>
    <s v="2-ANALYSIS OF COMPARABLE PROPERTIES               "/>
    <s v="16-20-203-020-0000"/>
    <n v="21999"/>
    <n v="19927"/>
    <x v="1"/>
    <x v="1"/>
    <n v="2072"/>
  </r>
  <r>
    <s v="2023-15-12613"/>
    <x v="170"/>
    <s v="COMPLETE                                          "/>
    <x v="1"/>
    <s v="2-ANALYSIS OF COMPARABLE PROPERTIES               "/>
    <s v="16-20-404-011-0000"/>
    <n v="21999"/>
    <n v="19921"/>
    <x v="1"/>
    <x v="1"/>
    <n v="2078"/>
  </r>
  <r>
    <s v="2023-15-12530"/>
    <x v="171"/>
    <s v="COMPLETE                                          "/>
    <x v="1"/>
    <s v="2-ANALYSIS OF COMPARABLE PROPERTIES               "/>
    <s v="16-28-216-018-0000"/>
    <n v="26000"/>
    <n v="23909"/>
    <x v="6"/>
    <x v="1"/>
    <n v="2091"/>
  </r>
  <r>
    <s v="2023-15-12779"/>
    <x v="172"/>
    <s v="COMPLETE                                          "/>
    <x v="1"/>
    <s v="2-ANALYSIS OF COMPARABLE PROPERTIES               "/>
    <s v="16-32-408-043-0000"/>
    <n v="23999"/>
    <n v="21902"/>
    <x v="2"/>
    <x v="1"/>
    <n v="2097"/>
  </r>
  <r>
    <s v="2023-15-12523"/>
    <x v="173"/>
    <s v="COMPLETE                                          "/>
    <x v="1"/>
    <s v="2-ANALYSIS OF COMPARABLE PROPERTIES               "/>
    <s v="16-28-122-011-0000"/>
    <n v="25999"/>
    <n v="23900"/>
    <x v="6"/>
    <x v="1"/>
    <n v="2099"/>
  </r>
  <r>
    <s v="2023-11-13340"/>
    <x v="174"/>
    <s v="COMPLETE                                          "/>
    <x v="1"/>
    <s v="2-ANALYSIS OF COMPARABLE PROPERTIES               "/>
    <s v="16-30-418-013-0000"/>
    <n v="18901"/>
    <n v="16798"/>
    <x v="0"/>
    <x v="2"/>
    <n v="2103"/>
  </r>
  <r>
    <s v="2023-15-12275"/>
    <x v="175"/>
    <s v="COMPLETE                                          "/>
    <x v="1"/>
    <s v="2-ANALYSIS OF COMPARABLE PROPERTIES               "/>
    <s v="16-28-108-014-0000"/>
    <n v="26999"/>
    <n v="24880"/>
    <x v="6"/>
    <x v="1"/>
    <n v="2119"/>
  </r>
  <r>
    <s v="2023-15-12485"/>
    <x v="176"/>
    <s v="COMPLETE                                          "/>
    <x v="1"/>
    <s v="2-ANALYSIS OF COMPARABLE PROPERTIES               "/>
    <s v="16-29-402-003-0000"/>
    <n v="23999"/>
    <n v="21848"/>
    <x v="2"/>
    <x v="1"/>
    <n v="2151"/>
  </r>
  <r>
    <s v="2023-15-12524"/>
    <x v="177"/>
    <s v="COMPLETE                                          "/>
    <x v="1"/>
    <s v="2-ANALYSIS OF COMPARABLE PROPERTIES               "/>
    <s v="16-33-302-041-0000"/>
    <n v="22999"/>
    <n v="20837"/>
    <x v="0"/>
    <x v="0"/>
    <n v="2162"/>
  </r>
  <r>
    <s v="2023-15-12714"/>
    <x v="178"/>
    <s v="COMPLETE                                          "/>
    <x v="1"/>
    <s v="2-ANALYSIS OF COMPARABLE PROPERTIES               "/>
    <s v="16-21-216-025-0000"/>
    <n v="21999"/>
    <n v="19831"/>
    <x v="1"/>
    <x v="1"/>
    <n v="2168"/>
  </r>
  <r>
    <s v="2023-15-12525"/>
    <x v="179"/>
    <s v="COMPLETE                                          "/>
    <x v="1"/>
    <s v="2-ANALYSIS OF COMPARABLE PROPERTIES               "/>
    <s v="16-32-216-007-0000"/>
    <n v="21999"/>
    <n v="19813"/>
    <x v="1"/>
    <x v="1"/>
    <n v="2186"/>
  </r>
  <r>
    <s v="2023-15-12757"/>
    <x v="180"/>
    <s v="COMPLETE                                          "/>
    <x v="1"/>
    <s v="2-ANALYSIS OF COMPARABLE PROPERTIES               "/>
    <s v="16-28-125-027-0000"/>
    <n v="16999"/>
    <n v="14809"/>
    <x v="0"/>
    <x v="1"/>
    <n v="2190"/>
  </r>
  <r>
    <s v="2023-11-13100"/>
    <x v="181"/>
    <s v="COMPLETE                                          "/>
    <x v="1"/>
    <s v="2-ANALYSIS OF COMPARABLE PROPERTIES               "/>
    <s v="16-20-117-038-0000"/>
    <n v="22999"/>
    <n v="20781"/>
    <x v="1"/>
    <x v="3"/>
    <n v="2218"/>
  </r>
  <r>
    <s v="2023-11-11052"/>
    <x v="182"/>
    <s v="COMPLETE                                          "/>
    <x v="1"/>
    <s v="2-ANALYSIS OF COMPARABLE PROPERTIES               "/>
    <s v="16-30-105-007-0000"/>
    <n v="24999"/>
    <n v="22778"/>
    <x v="1"/>
    <x v="2"/>
    <n v="2221"/>
  </r>
  <r>
    <s v="2023-11-12648"/>
    <x v="183"/>
    <s v="COMPLETE                                          "/>
    <x v="1"/>
    <s v="2-ANALYSIS OF COMPARABLE PROPERTIES               "/>
    <s v="16-31-424-057-0000"/>
    <n v="32999"/>
    <n v="30769"/>
    <x v="2"/>
    <x v="2"/>
    <n v="2230"/>
  </r>
  <r>
    <s v="2023-11-13160"/>
    <x v="184"/>
    <s v="COMPLETE                                          "/>
    <x v="1"/>
    <s v="2-ANALYSIS OF COMPARABLE PROPERTIES               "/>
    <s v="16-30-408-023-0000"/>
    <n v="20999"/>
    <n v="18718"/>
    <x v="0"/>
    <x v="2"/>
    <n v="2281"/>
  </r>
  <r>
    <s v="2023-15-12693"/>
    <x v="185"/>
    <s v="COMPLETE                                          "/>
    <x v="1"/>
    <s v="2-ANALYSIS OF COMPARABLE PROPERTIES               "/>
    <s v="16-28-220-034-0000"/>
    <n v="25923"/>
    <n v="23641"/>
    <x v="6"/>
    <x v="1"/>
    <n v="2282"/>
  </r>
  <r>
    <s v="2023-15-12119"/>
    <x v="186"/>
    <s v="COMPLETE                                          "/>
    <x v="1"/>
    <s v="2-ANALYSIS OF COMPARABLE PROPERTIES               "/>
    <s v="16-21-218-017-0000"/>
    <n v="24999"/>
    <n v="22712"/>
    <x v="6"/>
    <x v="1"/>
    <n v="2287"/>
  </r>
  <r>
    <s v="2023-15-12520"/>
    <x v="187"/>
    <s v="COMPLETE                                          "/>
    <x v="1"/>
    <s v="2-ANALYSIS OF COMPARABLE PROPERTIES               "/>
    <s v="16-29-222-029-0000"/>
    <n v="21999"/>
    <n v="19711"/>
    <x v="6"/>
    <x v="1"/>
    <n v="2288"/>
  </r>
  <r>
    <s v="2023-11-12162"/>
    <x v="188"/>
    <s v="COMPLETE                                          "/>
    <x v="1"/>
    <s v="2-ANALYSIS OF COMPARABLE PROPERTIES               "/>
    <s v="16-19-415-037-0000"/>
    <n v="27258"/>
    <n v="24969"/>
    <x v="6"/>
    <x v="3"/>
    <n v="2289"/>
  </r>
  <r>
    <s v="2023-15-12573"/>
    <x v="189"/>
    <s v="COMPLETE                                          "/>
    <x v="1"/>
    <s v="2-ANALYSIS OF COMPARABLE PROPERTIES               "/>
    <s v="16-32-220-096-0000"/>
    <n v="21299"/>
    <n v="19004"/>
    <x v="3"/>
    <x v="1"/>
    <n v="2295"/>
  </r>
  <r>
    <s v="2023-15-12189"/>
    <x v="190"/>
    <s v="COMPLETE                                          "/>
    <x v="1"/>
    <s v="2-ANALYSIS OF COMPARABLE PROPERTIES               "/>
    <s v="16-21-205-024-0000"/>
    <n v="22999"/>
    <n v="20702"/>
    <x v="6"/>
    <x v="1"/>
    <n v="2297"/>
  </r>
  <r>
    <s v="2023-15-12531"/>
    <x v="191"/>
    <s v="COMPLETE                                          "/>
    <x v="1"/>
    <s v="2-ANALYSIS OF COMPARABLE PROPERTIES               "/>
    <s v="16-21-412-029-0000"/>
    <n v="31000"/>
    <n v="28690"/>
    <x v="6"/>
    <x v="1"/>
    <n v="2310"/>
  </r>
  <r>
    <s v="2023-15-12077"/>
    <x v="192"/>
    <s v="COMPLETE                                          "/>
    <x v="1"/>
    <s v="2-ANALYSIS OF COMPARABLE PROPERTIES               "/>
    <s v="16-29-213-028-0000"/>
    <n v="26999"/>
    <n v="24687"/>
    <x v="3"/>
    <x v="1"/>
    <n v="2312"/>
  </r>
  <r>
    <s v="2023-15-10861"/>
    <x v="193"/>
    <s v="COMPLETE                                          "/>
    <x v="1"/>
    <s v="2-ANALYSIS OF COMPARABLE PROPERTIES               "/>
    <s v="16-29-106-033-0000"/>
    <n v="25999"/>
    <n v="23680"/>
    <x v="2"/>
    <x v="1"/>
    <n v="2319"/>
  </r>
  <r>
    <s v="2023-11-13101"/>
    <x v="194"/>
    <s v="COMPLETE                                          "/>
    <x v="1"/>
    <s v="2-ANALYSIS OF COMPARABLE PROPERTIES               "/>
    <s v="16-30-310-018-0000"/>
    <n v="26999"/>
    <n v="24669"/>
    <x v="1"/>
    <x v="2"/>
    <n v="2330"/>
  </r>
  <r>
    <s v="2023-15-12738"/>
    <x v="195"/>
    <s v="COMPLETE                                          "/>
    <x v="1"/>
    <s v="2-ANALYSIS OF COMPARABLE PROPERTIES               "/>
    <s v="16-20-428-003-0000"/>
    <n v="25999"/>
    <n v="23668"/>
    <x v="6"/>
    <x v="1"/>
    <n v="2331"/>
  </r>
  <r>
    <s v="2023-15-12549"/>
    <x v="196"/>
    <s v="COMPLETE                                          "/>
    <x v="1"/>
    <s v="2-ANALYSIS OF COMPARABLE PROPERTIES               "/>
    <s v="16-32-305-004-0000"/>
    <n v="18350"/>
    <n v="16014"/>
    <x v="1"/>
    <x v="1"/>
    <n v="2336"/>
  </r>
  <r>
    <s v="2023-15-12778"/>
    <x v="197"/>
    <s v="COMPLETE                                          "/>
    <x v="1"/>
    <s v="2-ANALYSIS OF COMPARABLE PROPERTIES               "/>
    <s v="16-32-428-003-0000"/>
    <n v="20999"/>
    <n v="18659"/>
    <x v="1"/>
    <x v="1"/>
    <n v="2340"/>
  </r>
  <r>
    <s v="2023-15-12752"/>
    <x v="198"/>
    <s v="COMPLETE                                          "/>
    <x v="1"/>
    <s v="2-ANALYSIS OF COMPARABLE PROPERTIES               "/>
    <s v="16-20-418-024-0000"/>
    <n v="22999"/>
    <n v="20647"/>
    <x v="2"/>
    <x v="1"/>
    <n v="2352"/>
  </r>
  <r>
    <s v="2023-15-12060"/>
    <x v="199"/>
    <s v="COMPLETE                                          "/>
    <x v="1"/>
    <s v="2-ANALYSIS OF COMPARABLE PROPERTIES               "/>
    <s v="16-20-105-027-0000"/>
    <n v="31999"/>
    <n v="29642"/>
    <x v="6"/>
    <x v="1"/>
    <n v="2357"/>
  </r>
  <r>
    <s v="2023-15-12751"/>
    <x v="200"/>
    <s v="COMPLETE                                          "/>
    <x v="1"/>
    <s v="2-ANALYSIS OF COMPARABLE PROPERTIES               "/>
    <s v="16-32-307-049-0000"/>
    <n v="21999"/>
    <n v="19634"/>
    <x v="3"/>
    <x v="1"/>
    <n v="2365"/>
  </r>
  <r>
    <s v="2023-15-12117"/>
    <x v="201"/>
    <s v="COMPLETE                                          "/>
    <x v="1"/>
    <s v="2-ANALYSIS OF COMPARABLE PROPERTIES               "/>
    <s v="16-20-420-027-0000"/>
    <n v="24999"/>
    <n v="22601"/>
    <x v="6"/>
    <x v="1"/>
    <n v="2398"/>
  </r>
  <r>
    <s v="2023-15-12084"/>
    <x v="202"/>
    <s v="COMPLETE                                          "/>
    <x v="1"/>
    <s v="2-ANALYSIS OF COMPARABLE PROPERTIES               "/>
    <s v="16-20-415-007-0000"/>
    <n v="19999"/>
    <n v="17593"/>
    <x v="1"/>
    <x v="1"/>
    <n v="2406"/>
  </r>
  <r>
    <s v="2023-15-12115"/>
    <x v="203"/>
    <s v="COMPLETE                                          "/>
    <x v="1"/>
    <s v="2-ANALYSIS OF COMPARABLE PROPERTIES               "/>
    <s v="16-21-423-017-0000"/>
    <n v="28999"/>
    <n v="26592"/>
    <x v="6"/>
    <x v="7"/>
    <n v="2407"/>
  </r>
  <r>
    <s v="2023-15-12652"/>
    <x v="204"/>
    <s v="COMPLETE                                          "/>
    <x v="1"/>
    <s v="2-ANALYSIS OF COMPARABLE PROPERTIES               "/>
    <s v="16-29-211-006-0000"/>
    <n v="22999"/>
    <n v="20578"/>
    <x v="6"/>
    <x v="1"/>
    <n v="2421"/>
  </r>
  <r>
    <s v="2023-11-13456"/>
    <x v="205"/>
    <s v="COMPLETE                                          "/>
    <x v="1"/>
    <s v="2-ANALYSIS OF COMPARABLE PROPERTIES               "/>
    <s v="16-31-401-026-0000"/>
    <n v="24638"/>
    <n v="22215"/>
    <x v="1"/>
    <x v="2"/>
    <n v="2423"/>
  </r>
  <r>
    <s v="2023-15-12186"/>
    <x v="206"/>
    <s v="COMPLETE                                          "/>
    <x v="1"/>
    <s v="2-ANALYSIS OF COMPARABLE PROPERTIES               "/>
    <s v="16-29-204-029-0000"/>
    <n v="15999"/>
    <n v="13532"/>
    <x v="0"/>
    <x v="1"/>
    <n v="2467"/>
  </r>
  <r>
    <s v="2023-15-12551"/>
    <x v="207"/>
    <s v="COMPLETE                                          "/>
    <x v="1"/>
    <s v="2-ANALYSIS OF COMPARABLE PROPERTIES               "/>
    <s v="16-21-407-004-0000"/>
    <n v="24000"/>
    <n v="21528"/>
    <x v="1"/>
    <x v="7"/>
    <n v="2472"/>
  </r>
  <r>
    <s v="2023-15-12107"/>
    <x v="208"/>
    <s v="COMPLETE                                          "/>
    <x v="1"/>
    <s v="2-ANALYSIS OF COMPARABLE PROPERTIES               "/>
    <s v="16-32-408-040-0000"/>
    <n v="22999"/>
    <n v="20511"/>
    <x v="1"/>
    <x v="1"/>
    <n v="2488"/>
  </r>
  <r>
    <s v="2023-15-12599"/>
    <x v="209"/>
    <s v="COMPLETE                                          "/>
    <x v="1"/>
    <s v="2-ANALYSIS OF COMPARABLE PROPERTIES               "/>
    <s v="16-20-335-021-0000"/>
    <n v="30000"/>
    <n v="27503"/>
    <x v="6"/>
    <x v="1"/>
    <n v="2497"/>
  </r>
  <r>
    <s v="2023-15-12194"/>
    <x v="210"/>
    <s v="COMPLETE                                          "/>
    <x v="1"/>
    <s v="2-ANALYSIS OF COMPARABLE PROPERTIES               "/>
    <s v="16-28-115-003-0000"/>
    <n v="24999"/>
    <n v="22460"/>
    <x v="1"/>
    <x v="1"/>
    <n v="2539"/>
  </r>
  <r>
    <s v="2023-11-13174"/>
    <x v="211"/>
    <s v="COMPLETE                                          "/>
    <x v="1"/>
    <s v="2-ANALYSIS OF COMPARABLE PROPERTIES               "/>
    <s v="16-29-309-016-0000"/>
    <n v="26999"/>
    <n v="24458"/>
    <x v="6"/>
    <x v="2"/>
    <n v="2541"/>
  </r>
  <r>
    <s v="2023-15-12745"/>
    <x v="212"/>
    <s v="COMPLETE                                          "/>
    <x v="1"/>
    <s v="2-ANALYSIS OF COMPARABLE PROPERTIES               "/>
    <s v="16-33-110-028-0000"/>
    <n v="25000"/>
    <n v="22450"/>
    <x v="6"/>
    <x v="0"/>
    <n v="2550"/>
  </r>
  <r>
    <s v="2023-15-12334"/>
    <x v="213"/>
    <s v="COMPLETE                                          "/>
    <x v="1"/>
    <s v="2-ANALYSIS OF COMPARABLE PROPERTIES               "/>
    <s v="16-21-410-015-0000"/>
    <n v="25000"/>
    <n v="22449"/>
    <x v="2"/>
    <x v="1"/>
    <n v="2551"/>
  </r>
  <r>
    <s v="2023-15-12766"/>
    <x v="214"/>
    <s v="COMPLETE                                          "/>
    <x v="1"/>
    <s v="2-ANALYSIS OF COMPARABLE PROPERTIES               "/>
    <s v="16-32-124-044-0000"/>
    <n v="20999"/>
    <n v="18439"/>
    <x v="1"/>
    <x v="1"/>
    <n v="2560"/>
  </r>
  <r>
    <s v="2023-15-12636"/>
    <x v="215"/>
    <s v="COMPLETE                                          "/>
    <x v="1"/>
    <s v="2-ANALYSIS OF COMPARABLE PROPERTIES               "/>
    <s v="16-20-409-009-0000"/>
    <n v="33000"/>
    <n v="30430"/>
    <x v="4"/>
    <x v="1"/>
    <n v="2570"/>
  </r>
  <r>
    <s v="2023-15-12533"/>
    <x v="216"/>
    <s v="COMPLETE                                          "/>
    <x v="1"/>
    <s v="2-ANALYSIS OF COMPARABLE PROPERTIES               "/>
    <s v="16-28-109-025-0000"/>
    <n v="25999"/>
    <n v="23424"/>
    <x v="6"/>
    <x v="1"/>
    <n v="2575"/>
  </r>
  <r>
    <s v="2023-15-12120"/>
    <x v="217"/>
    <s v="COMPLETE                                          "/>
    <x v="1"/>
    <s v="2-ANALYSIS OF COMPARABLE PROPERTIES               "/>
    <s v="16-28-119-002-0000"/>
    <n v="24999"/>
    <n v="22417"/>
    <x v="6"/>
    <x v="1"/>
    <n v="2582"/>
  </r>
  <r>
    <s v="2023-15-12621"/>
    <x v="218"/>
    <s v="COMPLETE                                          "/>
    <x v="1"/>
    <s v="2-ANALYSIS OF COMPARABLE PROPERTIES               "/>
    <s v="16-29-314-011-0000"/>
    <n v="27999"/>
    <n v="25416"/>
    <x v="6"/>
    <x v="1"/>
    <n v="2583"/>
  </r>
  <r>
    <s v="2023-15-12627"/>
    <x v="219"/>
    <s v="COMPLETE                                          "/>
    <x v="1"/>
    <s v="2-ANALYSIS OF COMPARABLE PROPERTIES               "/>
    <s v="16-29-208-018-0000"/>
    <n v="17999"/>
    <n v="15408"/>
    <x v="0"/>
    <x v="1"/>
    <n v="2591"/>
  </r>
  <r>
    <s v="2023-15-12464"/>
    <x v="220"/>
    <s v="COMPLETE                                          "/>
    <x v="1"/>
    <s v="2-ANALYSIS OF COMPARABLE PROPERTIES               "/>
    <s v="16-28-104-018-0000"/>
    <n v="24999"/>
    <n v="22369"/>
    <x v="1"/>
    <x v="1"/>
    <n v="2630"/>
  </r>
  <r>
    <s v="2023-15-12743"/>
    <x v="221"/>
    <s v="COMPLETE                                          "/>
    <x v="1"/>
    <s v="2-ANALYSIS OF COMPARABLE PROPERTIES               "/>
    <s v="16-33-314-002-0000"/>
    <n v="21999"/>
    <n v="19364"/>
    <x v="1"/>
    <x v="0"/>
    <n v="2635"/>
  </r>
  <r>
    <s v="2023-15-12528"/>
    <x v="222"/>
    <s v="COMPLETE                                          "/>
    <x v="1"/>
    <s v="2-ANALYSIS OF COMPARABLE PROPERTIES               "/>
    <s v="16-28-310-033-0000"/>
    <n v="21999"/>
    <n v="19360"/>
    <x v="3"/>
    <x v="0"/>
    <n v="2639"/>
  </r>
  <r>
    <s v="2023-11-13183"/>
    <x v="223"/>
    <s v="COMPLETE                                          "/>
    <x v="1"/>
    <s v="2-ANALYSIS OF COMPARABLE PROPERTIES               "/>
    <s v="16-30-227-005-0000"/>
    <n v="21000"/>
    <n v="18340"/>
    <x v="1"/>
    <x v="2"/>
    <n v="2660"/>
  </r>
  <r>
    <s v="2023-15-12537"/>
    <x v="224"/>
    <s v="COMPLETE                                          "/>
    <x v="1"/>
    <s v="2-ANALYSIS OF COMPARABLE PROPERTIES               "/>
    <s v="16-20-404-023-0000"/>
    <n v="27999"/>
    <n v="25334"/>
    <x v="2"/>
    <x v="1"/>
    <n v="2665"/>
  </r>
  <r>
    <s v="2023-15-12646"/>
    <x v="225"/>
    <s v="COMPLETE                                          "/>
    <x v="1"/>
    <s v="2-ANALYSIS OF COMPARABLE PROPERTIES               "/>
    <s v="16-29-123-012-0000"/>
    <n v="20000"/>
    <n v="17300"/>
    <x v="1"/>
    <x v="1"/>
    <n v="2700"/>
  </r>
  <r>
    <s v="2023-15-12063"/>
    <x v="226"/>
    <s v="COMPLETE                                          "/>
    <x v="1"/>
    <s v="2-ANALYSIS OF COMPARABLE PROPERTIES               "/>
    <s v="16-20-411-012-0000"/>
    <n v="21414"/>
    <n v="18703"/>
    <x v="1"/>
    <x v="1"/>
    <n v="2711"/>
  </r>
  <r>
    <s v="2023-15-12212"/>
    <x v="227"/>
    <s v="COMPLETE                                          "/>
    <x v="1"/>
    <s v="2-ANALYSIS OF COMPARABLE PROPERTIES               "/>
    <s v="16-32-429-055-0000"/>
    <n v="20499"/>
    <n v="17753"/>
    <x v="3"/>
    <x v="1"/>
    <n v="2746"/>
  </r>
  <r>
    <s v="2023-11-12227"/>
    <x v="228"/>
    <s v="COMPLETE                                          "/>
    <x v="0"/>
    <s v="2-ANALYSIS OF COMPARABLE PROPERTIES               "/>
    <s v="16-19-310-012-0000"/>
    <n v="24000"/>
    <n v="21247"/>
    <x v="1"/>
    <x v="3"/>
    <n v="2753"/>
  </r>
  <r>
    <s v="2023-15-12139"/>
    <x v="229"/>
    <s v="COMPLETE                                          "/>
    <x v="1"/>
    <s v="2-ANALYSIS OF COMPARABLE PROPERTIES               "/>
    <s v="16-20-313-030-0000"/>
    <n v="20999"/>
    <n v="18244"/>
    <x v="1"/>
    <x v="1"/>
    <n v="2755"/>
  </r>
  <r>
    <s v="2023-15-12607"/>
    <x v="230"/>
    <s v="COMPLETE                                          "/>
    <x v="1"/>
    <s v="2-ANALYSIS OF COMPARABLE PROPERTIES               "/>
    <s v="16-29-114-036-0000"/>
    <n v="22999"/>
    <n v="20244"/>
    <x v="1"/>
    <x v="1"/>
    <n v="2755"/>
  </r>
  <r>
    <s v="2023-15-12741"/>
    <x v="231"/>
    <s v="COMPLETE                                          "/>
    <x v="1"/>
    <s v="2-ANALYSIS OF COMPARABLE PROPERTIES               "/>
    <s v="16-33-206-004-0000"/>
    <n v="19999"/>
    <n v="17234"/>
    <x v="1"/>
    <x v="0"/>
    <n v="2765"/>
  </r>
  <r>
    <s v="2023-15-12134"/>
    <x v="232"/>
    <s v="COMPLETE                                          "/>
    <x v="1"/>
    <s v="2-ANALYSIS OF COMPARABLE PROPERTIES               "/>
    <s v="16-20-219-002-0000"/>
    <n v="29999"/>
    <n v="27226"/>
    <x v="6"/>
    <x v="1"/>
    <n v="2773"/>
  </r>
  <r>
    <s v="2023-11-13072"/>
    <x v="233"/>
    <s v="COMPLETE                                          "/>
    <x v="1"/>
    <s v="2-ANALYSIS OF COMPARABLE PROPERTIES               "/>
    <s v="16-31-131-010-0000"/>
    <n v="31000"/>
    <n v="28203"/>
    <x v="3"/>
    <x v="2"/>
    <n v="2797"/>
  </r>
  <r>
    <s v="2023-15-12768"/>
    <x v="234"/>
    <s v="COMPLETE                                          "/>
    <x v="1"/>
    <s v="2-ANALYSIS OF COMPARABLE PROPERTIES               "/>
    <s v="16-28-109-019-0000"/>
    <n v="26999"/>
    <n v="24182"/>
    <x v="6"/>
    <x v="1"/>
    <n v="2817"/>
  </r>
  <r>
    <s v="2023-15-12094"/>
    <x v="235"/>
    <s v="COMPLETE                                          "/>
    <x v="1"/>
    <s v="2-ANALYSIS OF COMPARABLE PROPERTIES               "/>
    <s v="16-20-314-008-0000"/>
    <n v="25999"/>
    <n v="23175"/>
    <x v="1"/>
    <x v="1"/>
    <n v="2824"/>
  </r>
  <r>
    <s v="2023-15-12114"/>
    <x v="236"/>
    <s v="COMPLETE                                          "/>
    <x v="1"/>
    <s v="2-ANALYSIS OF COMPARABLE PROPERTIES               "/>
    <s v="16-20-431-003-0000"/>
    <n v="34999"/>
    <n v="32160"/>
    <x v="6"/>
    <x v="1"/>
    <n v="2839"/>
  </r>
  <r>
    <s v="2023-15-12483"/>
    <x v="237"/>
    <s v="COMPLETE                                          "/>
    <x v="1"/>
    <s v="2-ANALYSIS OF COMPARABLE PROPERTIES               "/>
    <s v="16-32-417-024-0000"/>
    <n v="27999"/>
    <n v="25158"/>
    <x v="4"/>
    <x v="1"/>
    <n v="2841"/>
  </r>
  <r>
    <s v="2023-15-12323"/>
    <x v="238"/>
    <s v="COMPLETE                                          "/>
    <x v="1"/>
    <s v="2-ANALYSIS OF COMPARABLE PROPERTIES               "/>
    <s v="16-29-401-018-0000"/>
    <n v="26999"/>
    <n v="24108"/>
    <x v="6"/>
    <x v="1"/>
    <n v="2891"/>
  </r>
  <r>
    <s v="2023-15-12567"/>
    <x v="239"/>
    <s v="COMPLETE                                          "/>
    <x v="1"/>
    <s v="2-ANALYSIS OF COMPARABLE PROPERTIES               "/>
    <s v="16-33-201-027-0000"/>
    <n v="26999"/>
    <n v="24101"/>
    <x v="2"/>
    <x v="0"/>
    <n v="2898"/>
  </r>
  <r>
    <s v="2023-15-12126"/>
    <x v="240"/>
    <s v="COMPLETE                                          "/>
    <x v="1"/>
    <s v="2-ANALYSIS OF COMPARABLE PROPERTIES               "/>
    <s v="16-32-419-003-0000"/>
    <n v="25999"/>
    <n v="23088"/>
    <x v="6"/>
    <x v="1"/>
    <n v="2911"/>
  </r>
  <r>
    <s v="2023-15-12404"/>
    <x v="241"/>
    <s v="COMPLETE                                          "/>
    <x v="1"/>
    <s v="2-ANALYSIS OF COMPARABLE PROPERTIES               "/>
    <s v="16-29-214-037-0000"/>
    <n v="30543"/>
    <n v="27617"/>
    <x v="6"/>
    <x v="1"/>
    <n v="2926"/>
  </r>
  <r>
    <s v="2023-15-12347"/>
    <x v="242"/>
    <s v="COMPLETE                                          "/>
    <x v="1"/>
    <s v="2-ANALYSIS OF COMPARABLE PROPERTIES               "/>
    <s v="16-20-431-007-0000"/>
    <n v="31999"/>
    <n v="29030"/>
    <x v="6"/>
    <x v="1"/>
    <n v="2969"/>
  </r>
  <r>
    <s v="2023-15-12666"/>
    <x v="243"/>
    <s v="COMPLETE                                          "/>
    <x v="1"/>
    <s v="2-ANALYSIS OF COMPARABLE PROPERTIES               "/>
    <s v="16-21-411-033-0000"/>
    <n v="30000"/>
    <n v="27027"/>
    <x v="6"/>
    <x v="1"/>
    <n v="2973"/>
  </r>
  <r>
    <s v="2023-11-10939"/>
    <x v="244"/>
    <s v="COMPLETE                                          "/>
    <x v="1"/>
    <s v="2-ANALYSIS OF COMPARABLE PROPERTIES               "/>
    <s v="16-29-124-007-0000"/>
    <n v="27830"/>
    <n v="24783"/>
    <x v="1"/>
    <x v="2"/>
    <n v="3047"/>
  </r>
  <r>
    <s v="2023-15-12506"/>
    <x v="245"/>
    <s v="COMPLETE                                          "/>
    <x v="1"/>
    <s v="2-ANALYSIS OF COMPARABLE PROPERTIES               "/>
    <s v="16-21-406-012-0000"/>
    <n v="29000"/>
    <n v="25953"/>
    <x v="6"/>
    <x v="1"/>
    <n v="3047"/>
  </r>
  <r>
    <s v="2023-15-12548"/>
    <x v="246"/>
    <s v="COMPLETE                                          "/>
    <x v="1"/>
    <s v="2-ANALYSIS OF COMPARABLE PROPERTIES               "/>
    <s v="16-33-305-038-0000"/>
    <n v="22999"/>
    <n v="19931"/>
    <x v="13"/>
    <x v="0"/>
    <n v="3068"/>
  </r>
  <r>
    <s v="2023-15-11736"/>
    <x v="247"/>
    <s v="COMPLETE                                          "/>
    <x v="1"/>
    <s v="2-ANALYSIS OF COMPARABLE PROPERTIES               "/>
    <s v="16-21-403-032-0000"/>
    <n v="29000"/>
    <n v="25927"/>
    <x v="6"/>
    <x v="1"/>
    <n v="3073"/>
  </r>
  <r>
    <s v="2023-15-12643"/>
    <x v="248"/>
    <s v="COMPLETE                                          "/>
    <x v="1"/>
    <s v="2-ANALYSIS OF COMPARABLE PROPERTIES               "/>
    <s v="16-21-100-038-0000"/>
    <n v="31999"/>
    <n v="28888"/>
    <x v="6"/>
    <x v="1"/>
    <n v="3111"/>
  </r>
  <r>
    <s v="2023-11-13374"/>
    <x v="249"/>
    <s v="COMPLETE                                          "/>
    <x v="1"/>
    <s v="2-ANALYSIS OF COMPARABLE PROPERTIES               "/>
    <s v="16-31-308-042-0000"/>
    <n v="26000"/>
    <n v="22879"/>
    <x v="1"/>
    <x v="2"/>
    <n v="3121"/>
  </r>
  <r>
    <s v="2023-15-12049"/>
    <x v="250"/>
    <s v="COMPLETE                                          "/>
    <x v="1"/>
    <s v="2-ANALYSIS OF COMPARABLE PROPERTIES               "/>
    <s v="16-33-111-014-0000"/>
    <n v="25000"/>
    <n v="21866"/>
    <x v="6"/>
    <x v="0"/>
    <n v="3134"/>
  </r>
  <r>
    <s v="2023-15-12249"/>
    <x v="251"/>
    <s v="COMPLETE                                          "/>
    <x v="1"/>
    <s v="2-ANALYSIS OF COMPARABLE PROPERTIES               "/>
    <s v="16-28-128-006-0000"/>
    <n v="20999"/>
    <n v="17803"/>
    <x v="0"/>
    <x v="1"/>
    <n v="3196"/>
  </r>
  <r>
    <s v="2023-15-12497"/>
    <x v="252"/>
    <s v="COMPLETE                                          "/>
    <x v="1"/>
    <s v="2-ANALYSIS OF COMPARABLE PROPERTIES               "/>
    <s v="16-20-224-019-0000"/>
    <n v="27999"/>
    <n v="24796"/>
    <x v="6"/>
    <x v="1"/>
    <n v="3203"/>
  </r>
  <r>
    <s v="2023-15-12592"/>
    <x v="253"/>
    <s v="COMPLETE                                          "/>
    <x v="1"/>
    <s v="2-ANALYSIS OF COMPARABLE PROPERTIES               "/>
    <s v="16-20-400-001-0000"/>
    <n v="28000"/>
    <n v="24779"/>
    <x v="6"/>
    <x v="1"/>
    <n v="3221"/>
  </r>
  <r>
    <s v="2023-15-12428"/>
    <x v="254"/>
    <s v="COMPLETE                                          "/>
    <x v="1"/>
    <s v="2-ANALYSIS OF COMPARABLE PROPERTIES               "/>
    <s v="16-29-203-017-0000"/>
    <n v="24999"/>
    <n v="21776"/>
    <x v="6"/>
    <x v="1"/>
    <n v="3223"/>
  </r>
  <r>
    <s v="2023-15-12701"/>
    <x v="255"/>
    <s v="COMPLETE                                          "/>
    <x v="1"/>
    <s v="2-ANALYSIS OF COMPARABLE PROPERTIES               "/>
    <s v="16-21-412-036-0000"/>
    <n v="32000"/>
    <n v="28766"/>
    <x v="6"/>
    <x v="1"/>
    <n v="3234"/>
  </r>
  <r>
    <s v="2023-15-12211"/>
    <x v="256"/>
    <s v="COMPLETE                                          "/>
    <x v="1"/>
    <s v="2-ANALYSIS OF COMPARABLE PROPERTIES               "/>
    <s v="16-28-419-008-0000"/>
    <n v="28999"/>
    <n v="25762"/>
    <x v="6"/>
    <x v="0"/>
    <n v="3237"/>
  </r>
  <r>
    <s v="2023-11-13549"/>
    <x v="257"/>
    <s v="COMPLETE                                          "/>
    <x v="1"/>
    <s v="2-ANALYSIS OF COMPARABLE PROPERTIES               "/>
    <s v="16-19-308-029-0000"/>
    <n v="33000"/>
    <n v="29739"/>
    <x v="3"/>
    <x v="3"/>
    <n v="3261"/>
  </r>
  <r>
    <s v="2023-15-12108"/>
    <x v="258"/>
    <s v="COMPLETE                                          "/>
    <x v="1"/>
    <s v="2-ANALYSIS OF COMPARABLE PROPERTIES               "/>
    <s v="16-21-200-025-0000"/>
    <n v="25999"/>
    <n v="22737"/>
    <x v="6"/>
    <x v="1"/>
    <n v="3262"/>
  </r>
  <r>
    <s v="2023-15-12335"/>
    <x v="259"/>
    <s v="COMPLETE                                          "/>
    <x v="1"/>
    <s v="2-ANALYSIS OF COMPARABLE PROPERTIES               "/>
    <s v="16-21-225-015-0000"/>
    <n v="26999"/>
    <n v="23735"/>
    <x v="6"/>
    <x v="1"/>
    <n v="3264"/>
  </r>
  <r>
    <s v="2023-11-13263"/>
    <x v="260"/>
    <s v="COMPLETE                                          "/>
    <x v="1"/>
    <s v="2-ANALYSIS OF COMPARABLE PROPERTIES               "/>
    <s v="16-31-307-013-0000"/>
    <n v="30410"/>
    <n v="27130"/>
    <x v="6"/>
    <x v="2"/>
    <n v="3280"/>
  </r>
  <r>
    <s v="2023-15-12522"/>
    <x v="261"/>
    <s v="COMPLETE                                          "/>
    <x v="1"/>
    <s v="2-ANALYSIS OF COMPARABLE PROPERTIES               "/>
    <s v="16-21-305-007-0000"/>
    <n v="27999"/>
    <n v="24687"/>
    <x v="6"/>
    <x v="1"/>
    <n v="3312"/>
  </r>
  <r>
    <s v="2023-15-12626"/>
    <x v="262"/>
    <s v="COMPLETE                                          "/>
    <x v="1"/>
    <s v="2-ANALYSIS OF COMPARABLE PROPERTIES               "/>
    <s v="16-20-106-055-0000"/>
    <n v="37000"/>
    <n v="33646"/>
    <x v="6"/>
    <x v="1"/>
    <n v="3354"/>
  </r>
  <r>
    <s v="2023-15-12498"/>
    <x v="263"/>
    <s v="COMPLETE                                          "/>
    <x v="1"/>
    <s v="2-ANALYSIS OF COMPARABLE PROPERTIES               "/>
    <s v="16-21-305-022-0000"/>
    <n v="20999"/>
    <n v="17644"/>
    <x v="1"/>
    <x v="1"/>
    <n v="3355"/>
  </r>
  <r>
    <s v="2023-15-12711"/>
    <x v="264"/>
    <s v="COMPLETE                                          "/>
    <x v="1"/>
    <s v="2-ANALYSIS OF COMPARABLE PROPERTIES               "/>
    <s v="16-20-220-010-0000"/>
    <n v="28999"/>
    <n v="25635"/>
    <x v="6"/>
    <x v="1"/>
    <n v="3364"/>
  </r>
  <r>
    <s v="2023-15-10728"/>
    <x v="265"/>
    <s v="COMPLETE                                          "/>
    <x v="1"/>
    <s v="2-ANALYSIS OF COMPARABLE PROPERTIES               "/>
    <s v="16-21-410-025-0000"/>
    <n v="32000"/>
    <n v="28610"/>
    <x v="6"/>
    <x v="1"/>
    <n v="3390"/>
  </r>
  <r>
    <s v="2023-15-12109"/>
    <x v="266"/>
    <s v="COMPLETE                                          "/>
    <x v="1"/>
    <s v="2-ANALYSIS OF COMPARABLE PROPERTIES               "/>
    <s v="16-28-117-002-0000"/>
    <n v="30000"/>
    <n v="26609"/>
    <x v="6"/>
    <x v="1"/>
    <n v="3391"/>
  </r>
  <r>
    <s v="2023-11-13337"/>
    <x v="267"/>
    <s v="COMPLETE                                          "/>
    <x v="1"/>
    <s v="2-ANALYSIS OF COMPARABLE PROPERTIES               "/>
    <s v="16-29-317-016-0000"/>
    <n v="26999"/>
    <n v="23600"/>
    <x v="1"/>
    <x v="2"/>
    <n v="3399"/>
  </r>
  <r>
    <s v="2023-15-12593"/>
    <x v="268"/>
    <s v="COMPLETE                                          "/>
    <x v="1"/>
    <s v="2-ANALYSIS OF COMPARABLE PROPERTIES               "/>
    <s v="16-29-404-008-0000"/>
    <n v="30999"/>
    <n v="27565"/>
    <x v="6"/>
    <x v="1"/>
    <n v="3434"/>
  </r>
  <r>
    <s v="2023-15-12183"/>
    <x v="269"/>
    <s v="COMPLETE                                          "/>
    <x v="1"/>
    <s v="2-ANALYSIS OF COMPARABLE PROPERTIES               "/>
    <s v="16-21-412-027-0000"/>
    <n v="32000"/>
    <n v="28551"/>
    <x v="6"/>
    <x v="1"/>
    <n v="3449"/>
  </r>
  <r>
    <s v="2023-11-12992"/>
    <x v="270"/>
    <s v="COMPLETE                                          "/>
    <x v="1"/>
    <s v="2-ANALYSIS OF COMPARABLE PROPERTIES               "/>
    <s v="16-30-413-011-0000"/>
    <n v="26999"/>
    <n v="23493"/>
    <x v="1"/>
    <x v="2"/>
    <n v="3506"/>
  </r>
  <r>
    <s v="2023-15-12070"/>
    <x v="271"/>
    <s v="COMPLETE                                          "/>
    <x v="1"/>
    <s v="2-ANALYSIS OF COMPARABLE PROPERTIES               "/>
    <s v="16-29-304-005-0000"/>
    <n v="25999"/>
    <n v="22437"/>
    <x v="1"/>
    <x v="1"/>
    <n v="3562"/>
  </r>
  <r>
    <s v="2023-15-12159"/>
    <x v="272"/>
    <s v="COMPLETE                                          "/>
    <x v="1"/>
    <s v="2-ANALYSIS OF COMPARABLE PROPERTIES               "/>
    <s v="16-28-429-003-0000"/>
    <n v="21999"/>
    <n v="18371"/>
    <x v="6"/>
    <x v="0"/>
    <n v="3628"/>
  </r>
  <r>
    <s v="2023-11-12524"/>
    <x v="273"/>
    <s v="COMPLETE                                          "/>
    <x v="1"/>
    <s v="2-ANALYSIS OF COMPARABLE PROPERTIES               "/>
    <s v="16-30-309-023-0000"/>
    <n v="29999"/>
    <n v="26363"/>
    <x v="1"/>
    <x v="2"/>
    <n v="3636"/>
  </r>
  <r>
    <s v="2023-15-12710"/>
    <x v="274"/>
    <s v="COMPLETE                                          "/>
    <x v="1"/>
    <s v="2-ANALYSIS OF COMPARABLE PROPERTIES               "/>
    <s v="16-20-212-010-0000"/>
    <n v="29600"/>
    <n v="25950"/>
    <x v="6"/>
    <x v="1"/>
    <n v="3650"/>
  </r>
  <r>
    <s v="2023-15-12769"/>
    <x v="275"/>
    <s v="COMPLETE                                          "/>
    <x v="1"/>
    <s v="2-ANALYSIS OF COMPARABLE PROPERTIES               "/>
    <s v="16-28-416-021-0000"/>
    <n v="24999"/>
    <n v="21345"/>
    <x v="6"/>
    <x v="0"/>
    <n v="3654"/>
  </r>
  <r>
    <s v="2023-15-12143"/>
    <x v="276"/>
    <s v="COMPLETE                                          "/>
    <x v="1"/>
    <s v="2-ANALYSIS OF COMPARABLE PROPERTIES               "/>
    <s v="16-28-212-025-0000"/>
    <n v="27999"/>
    <n v="24319"/>
    <x v="6"/>
    <x v="1"/>
    <n v="3680"/>
  </r>
  <r>
    <s v="2023-11-12556"/>
    <x v="277"/>
    <s v="COMPLETE                                          "/>
    <x v="1"/>
    <s v="2-ANALYSIS OF COMPARABLE PROPERTIES               "/>
    <s v="16-31-301-005-0000"/>
    <n v="26999"/>
    <n v="23302"/>
    <x v="1"/>
    <x v="2"/>
    <n v="3697"/>
  </r>
  <r>
    <s v="2023-11-12610"/>
    <x v="278"/>
    <s v="COMPLETE                                          "/>
    <x v="1"/>
    <s v="2-ANALYSIS OF COMPARABLE PROPERTIES               "/>
    <s v="16-31-232-009-0000"/>
    <n v="27999"/>
    <n v="24246"/>
    <x v="3"/>
    <x v="2"/>
    <n v="3753"/>
  </r>
  <r>
    <s v="2023-15-12351"/>
    <x v="279"/>
    <s v="COMPLETE                                          "/>
    <x v="1"/>
    <s v="2-ANALYSIS OF COMPARABLE PROPERTIES               "/>
    <s v="16-33-320-013-0000"/>
    <n v="21999"/>
    <n v="18245"/>
    <x v="0"/>
    <x v="0"/>
    <n v="3754"/>
  </r>
  <r>
    <s v="2023-15-12079"/>
    <x v="280"/>
    <s v="COMPLETE                                          "/>
    <x v="1"/>
    <s v="2-ANALYSIS OF COMPARABLE PROPERTIES               "/>
    <s v="16-32-217-021-0000"/>
    <n v="21999"/>
    <n v="18234"/>
    <x v="3"/>
    <x v="1"/>
    <n v="3765"/>
  </r>
  <r>
    <s v="2023-15-12543"/>
    <x v="281"/>
    <s v="COMPLETE                                          "/>
    <x v="1"/>
    <s v="2-ANALYSIS OF COMPARABLE PROPERTIES               "/>
    <s v="16-33-206-027-0000"/>
    <n v="30999"/>
    <n v="27232"/>
    <x v="2"/>
    <x v="0"/>
    <n v="3767"/>
  </r>
  <r>
    <s v="2023-11-12233"/>
    <x v="282"/>
    <s v="COMPLETE                                          "/>
    <x v="1"/>
    <s v="2-ANALYSIS OF COMPARABLE PROPERTIES               "/>
    <s v="16-19-431-010-0000"/>
    <n v="32000"/>
    <n v="28151"/>
    <x v="6"/>
    <x v="3"/>
    <n v="3849"/>
  </r>
  <r>
    <s v="2023-15-12098"/>
    <x v="283"/>
    <s v="COMPLETE                                          "/>
    <x v="1"/>
    <s v="2-ANALYSIS OF COMPARABLE PROPERTIES               "/>
    <s v="16-28-113-014-0000"/>
    <n v="19999"/>
    <n v="16149"/>
    <x v="0"/>
    <x v="1"/>
    <n v="3850"/>
  </r>
  <r>
    <s v="2023-15-12526"/>
    <x v="284"/>
    <s v="COMPLETE                                          "/>
    <x v="1"/>
    <s v="2-ANALYSIS OF COMPARABLE PROPERTIES               "/>
    <s v="16-20-213-001-0000"/>
    <n v="27999"/>
    <n v="24140"/>
    <x v="6"/>
    <x v="1"/>
    <n v="3859"/>
  </r>
  <r>
    <s v="2023-15-12615"/>
    <x v="285"/>
    <s v="COMPLETE                                          "/>
    <x v="1"/>
    <s v="2-ANALYSIS OF COMPARABLE PROPERTIES               "/>
    <s v="16-28-112-006-0000"/>
    <n v="36999"/>
    <n v="33083"/>
    <x v="14"/>
    <x v="1"/>
    <n v="3916"/>
  </r>
  <r>
    <s v="2023-15-12152"/>
    <x v="286"/>
    <s v="COMPLETE                                          "/>
    <x v="1"/>
    <s v="2-ANALYSIS OF COMPARABLE PROPERTIES               "/>
    <s v="16-28-110-024-0000"/>
    <n v="27999"/>
    <n v="24049"/>
    <x v="6"/>
    <x v="1"/>
    <n v="3950"/>
  </r>
  <r>
    <s v="2023-15-12111"/>
    <x v="287"/>
    <s v="COMPLETE                                          "/>
    <x v="1"/>
    <s v="2-ANALYSIS OF COMPARABLE PROPERTIES               "/>
    <s v="16-20-205-025-0000"/>
    <n v="22999"/>
    <n v="19020"/>
    <x v="1"/>
    <x v="1"/>
    <n v="3979"/>
  </r>
  <r>
    <s v="2023-15-12078"/>
    <x v="288"/>
    <s v="COMPLETE                                          "/>
    <x v="1"/>
    <s v="2-ANALYSIS OF COMPARABLE PROPERTIES               "/>
    <s v="16-21-404-013-0000"/>
    <n v="37500"/>
    <n v="33478"/>
    <x v="6"/>
    <x v="1"/>
    <n v="4022"/>
  </r>
  <r>
    <s v="2023-15-12736"/>
    <x v="289"/>
    <s v="COMPLETE                                          "/>
    <x v="1"/>
    <s v="2-ANALYSIS OF COMPARABLE PROPERTIES               "/>
    <s v="16-28-115-019-0000"/>
    <n v="25999"/>
    <n v="21910"/>
    <x v="6"/>
    <x v="1"/>
    <n v="4089"/>
  </r>
  <r>
    <s v="2023-15-12339"/>
    <x v="290"/>
    <s v="COMPLETE                                          "/>
    <x v="1"/>
    <s v="2-ANALYSIS OF COMPARABLE PROPERTIES               "/>
    <s v="16-21-425-007-0000"/>
    <n v="21800"/>
    <n v="17632"/>
    <x v="1"/>
    <x v="1"/>
    <n v="4168"/>
  </r>
  <r>
    <s v="2023-15-12737"/>
    <x v="291"/>
    <s v="COMPLETE                                          "/>
    <x v="1"/>
    <s v="2-ANALYSIS OF COMPARABLE PROPERTIES               "/>
    <s v="16-29-106-017-0000"/>
    <n v="25000"/>
    <n v="20821"/>
    <x v="1"/>
    <x v="1"/>
    <n v="4179"/>
  </r>
  <r>
    <s v="2023-33-11152"/>
    <x v="292"/>
    <s v="COMPLETE                                          "/>
    <x v="1"/>
    <s v="2-ANALYSIS OF COMPARABLE PROPERTIES               "/>
    <s v="15-01-409-011-0000"/>
    <n v="56858"/>
    <n v="52656"/>
    <x v="6"/>
    <x v="9"/>
    <n v="4202"/>
  </r>
  <r>
    <s v="2023-15-12658"/>
    <x v="293"/>
    <s v="COMPLETE                                          "/>
    <x v="1"/>
    <s v="2-ANALYSIS OF COMPARABLE PROPERTIES               "/>
    <s v="16-21-303-006-0000"/>
    <n v="31999"/>
    <n v="27777"/>
    <x v="6"/>
    <x v="1"/>
    <n v="4222"/>
  </r>
  <r>
    <s v="2023-11-13203"/>
    <x v="294"/>
    <s v="COMPLETE                                          "/>
    <x v="1"/>
    <s v="2-ANALYSIS OF COMPARABLE PROPERTIES               "/>
    <s v="16-31-323-008-0000"/>
    <n v="31999"/>
    <n v="27720"/>
    <x v="1"/>
    <x v="2"/>
    <n v="4279"/>
  </r>
  <r>
    <s v="2023-15-12639"/>
    <x v="295"/>
    <s v="COMPLETE                                          "/>
    <x v="1"/>
    <s v="2-ANALYSIS OF COMPARABLE PROPERTIES               "/>
    <s v="16-20-418-016-0000"/>
    <n v="21999"/>
    <n v="17697"/>
    <x v="1"/>
    <x v="1"/>
    <n v="4302"/>
  </r>
  <r>
    <s v="2023-15-12176"/>
    <x v="296"/>
    <s v="COMPLETE                                          "/>
    <x v="1"/>
    <s v="2-ANALYSIS OF COMPARABLE PROPERTIES               "/>
    <s v="16-28-212-010-0000"/>
    <n v="21999"/>
    <n v="17663"/>
    <x v="1"/>
    <x v="1"/>
    <n v="4336"/>
  </r>
  <r>
    <s v="2023-11-11089"/>
    <x v="297"/>
    <s v="COMPLETE                                          "/>
    <x v="1"/>
    <s v="2-ANALYSIS OF COMPARABLE PROPERTIES               "/>
    <s v="16-31-123-023-0000"/>
    <n v="36128"/>
    <n v="31723"/>
    <x v="4"/>
    <x v="2"/>
    <n v="4405"/>
  </r>
  <r>
    <s v="2023-15-12669"/>
    <x v="298"/>
    <s v="COMPLETE                                          "/>
    <x v="1"/>
    <s v="2-ANALYSIS OF COMPARABLE PROPERTIES               "/>
    <s v="16-21-224-038-0000"/>
    <n v="58998"/>
    <n v="54318"/>
    <x v="6"/>
    <x v="1"/>
    <n v="4680"/>
  </r>
  <r>
    <s v="2023-15-12232"/>
    <x v="299"/>
    <s v="COMPLETE                                          "/>
    <x v="1"/>
    <s v="2-ANALYSIS OF COMPARABLE PROPERTIES               "/>
    <s v="16-20-430-014-0000"/>
    <n v="29999"/>
    <n v="25222"/>
    <x v="6"/>
    <x v="1"/>
    <n v="4777"/>
  </r>
  <r>
    <s v="2023-15-12061"/>
    <x v="300"/>
    <s v="COMPLETE                                          "/>
    <x v="1"/>
    <s v="2-ANALYSIS OF COMPARABLE PROPERTIES               "/>
    <s v="16-29-201-031-0000"/>
    <n v="21999"/>
    <n v="17111"/>
    <x v="1"/>
    <x v="1"/>
    <n v="4888"/>
  </r>
  <r>
    <s v="2023-33-11261"/>
    <x v="301"/>
    <s v="COMPLETE                                          "/>
    <x v="1"/>
    <s v="1-COST, INCOME, MARKET DATA, APPRAISAL            "/>
    <s v="15-01-211-069-0000"/>
    <n v="26999"/>
    <n v="22000"/>
    <x v="5"/>
    <x v="9"/>
    <n v="4999"/>
  </r>
  <r>
    <s v="2023-15-12664"/>
    <x v="302"/>
    <s v="COMPLETE                                          "/>
    <x v="1"/>
    <s v="2-ANALYSIS OF COMPARABLE PROPERTIES               "/>
    <s v="16-21-422-031-0000"/>
    <n v="32000"/>
    <n v="26657"/>
    <x v="6"/>
    <x v="1"/>
    <n v="5343"/>
  </r>
  <r>
    <s v="2023-15-12660"/>
    <x v="303"/>
    <s v="COMPLETE                                          "/>
    <x v="1"/>
    <s v="2-ANALYSIS OF COMPARABLE PROPERTIES               "/>
    <s v="16-20-227-041-0000"/>
    <n v="39999"/>
    <n v="33846"/>
    <x v="6"/>
    <x v="1"/>
    <n v="6153"/>
  </r>
  <r>
    <s v="2023-15-12659"/>
    <x v="304"/>
    <s v="COMPLETE                                          "/>
    <x v="1"/>
    <s v="2-ANALYSIS OF COMPARABLE PROPERTIES               "/>
    <s v="16-20-227-042-0000"/>
    <n v="40000"/>
    <n v="33405"/>
    <x v="6"/>
    <x v="1"/>
    <n v="6595"/>
  </r>
  <r>
    <s v="2023-11-13098"/>
    <x v="305"/>
    <s v="COMPLETE                                          "/>
    <x v="1"/>
    <s v="2-ANALYSIS OF COMPARABLE PROPERTIES               "/>
    <s v="16-31-403-026-0000"/>
    <n v="38000"/>
    <n v="30288"/>
    <x v="2"/>
    <x v="2"/>
    <n v="7712"/>
  </r>
  <r>
    <s v="2023-15-12791"/>
    <x v="306"/>
    <s v="COMPLETE                                          "/>
    <x v="0"/>
    <s v="1-COST, INCOME, MARKET DATA, APPRAISAL            "/>
    <s v="16-21-426-009-0000"/>
    <n v="74792"/>
    <n v="56094"/>
    <x v="15"/>
    <x v="1"/>
    <n v="186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162735-D8C1-4971-A3FC-04377266B4A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R15" firstHeaderRow="1" firstDataRow="2" firstDataCol="1"/>
  <pivotFields count="11"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12"/>
        <item x="0"/>
        <item x="1"/>
        <item x="2"/>
        <item x="3"/>
        <item x="4"/>
        <item x="13"/>
        <item x="5"/>
        <item x="6"/>
        <item x="14"/>
        <item x="7"/>
        <item x="8"/>
        <item x="9"/>
        <item x="15"/>
        <item x="10"/>
        <item x="11"/>
        <item t="default"/>
      </items>
    </pivotField>
    <pivotField axis="axisRow" showAll="0">
      <items count="11">
        <item x="3"/>
        <item x="2"/>
        <item x="1"/>
        <item x="0"/>
        <item x="7"/>
        <item x="4"/>
        <item x="8"/>
        <item x="5"/>
        <item x="9"/>
        <item x="6"/>
        <item t="default"/>
      </items>
    </pivotField>
    <pivotField showAll="0"/>
  </pivotFields>
  <rowFields count="1">
    <field x="9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8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dataFields count="1">
    <dataField name="Count of pin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2304D3-C006-46A3-BC4E-F3101C7FF49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11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pin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262267-DF0A-4BAA-B3A6-1DEB2B0C01C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311" firstHeaderRow="0" firstDataRow="1" firstDataCol="1"/>
  <pivotFields count="11">
    <pivotField showAll="0"/>
    <pivotField axis="axisRow" showAll="0" sortType="descending">
      <items count="308">
        <item x="301"/>
        <item x="292"/>
        <item x="40"/>
        <item x="30"/>
        <item x="143"/>
        <item x="116"/>
        <item x="113"/>
        <item x="257"/>
        <item x="125"/>
        <item x="228"/>
        <item x="188"/>
        <item x="81"/>
        <item x="282"/>
        <item x="199"/>
        <item x="262"/>
        <item x="9"/>
        <item x="181"/>
        <item x="123"/>
        <item x="117"/>
        <item x="169"/>
        <item x="14"/>
        <item x="140"/>
        <item x="108"/>
        <item x="151"/>
        <item x="287"/>
        <item x="33"/>
        <item x="274"/>
        <item x="284"/>
        <item x="99"/>
        <item x="109"/>
        <item x="21"/>
        <item x="232"/>
        <item x="264"/>
        <item x="127"/>
        <item x="252"/>
        <item x="303"/>
        <item x="304"/>
        <item x="130"/>
        <item x="42"/>
        <item x="80"/>
        <item x="19"/>
        <item x="159"/>
        <item x="38"/>
        <item x="124"/>
        <item x="229"/>
        <item x="235"/>
        <item x="26"/>
        <item x="110"/>
        <item x="104"/>
        <item x="209"/>
        <item x="253"/>
        <item x="170"/>
        <item x="224"/>
        <item x="115"/>
        <item x="215"/>
        <item x="71"/>
        <item x="226"/>
        <item x="142"/>
        <item x="72"/>
        <item x="202"/>
        <item x="295"/>
        <item x="198"/>
        <item x="146"/>
        <item x="137"/>
        <item x="20"/>
        <item x="201"/>
        <item x="18"/>
        <item x="1"/>
        <item x="149"/>
        <item x="152"/>
        <item x="195"/>
        <item x="28"/>
        <item x="133"/>
        <item x="299"/>
        <item x="236"/>
        <item x="242"/>
        <item x="168"/>
        <item x="129"/>
        <item x="248"/>
        <item x="164"/>
        <item x="97"/>
        <item x="258"/>
        <item x="190"/>
        <item x="16"/>
        <item x="114"/>
        <item x="118"/>
        <item x="100"/>
        <item x="178"/>
        <item x="186"/>
        <item x="62"/>
        <item x="298"/>
        <item x="259"/>
        <item x="134"/>
        <item x="293"/>
        <item x="261"/>
        <item x="263"/>
        <item x="150"/>
        <item x="247"/>
        <item x="288"/>
        <item x="245"/>
        <item x="51"/>
        <item x="207"/>
        <item x="56"/>
        <item x="213"/>
        <item x="265"/>
        <item x="243"/>
        <item x="269"/>
        <item x="191"/>
        <item x="255"/>
        <item x="122"/>
        <item x="73"/>
        <item x="34"/>
        <item x="15"/>
        <item x="4"/>
        <item x="154"/>
        <item x="302"/>
        <item x="153"/>
        <item x="53"/>
        <item x="203"/>
        <item x="93"/>
        <item x="135"/>
        <item x="290"/>
        <item x="306"/>
        <item x="57"/>
        <item x="158"/>
        <item x="64"/>
        <item x="47"/>
        <item x="89"/>
        <item x="54"/>
        <item x="156"/>
        <item x="70"/>
        <item x="167"/>
        <item x="220"/>
        <item x="74"/>
        <item x="83"/>
        <item x="175"/>
        <item x="234"/>
        <item x="216"/>
        <item x="286"/>
        <item x="52"/>
        <item x="96"/>
        <item x="285"/>
        <item x="283"/>
        <item x="55"/>
        <item x="98"/>
        <item x="210"/>
        <item x="289"/>
        <item x="266"/>
        <item x="3"/>
        <item x="217"/>
        <item x="59"/>
        <item x="173"/>
        <item x="180"/>
        <item x="251"/>
        <item x="50"/>
        <item x="163"/>
        <item x="63"/>
        <item x="296"/>
        <item x="276"/>
        <item x="8"/>
        <item x="171"/>
        <item x="131"/>
        <item x="185"/>
        <item x="37"/>
        <item x="222"/>
        <item x="145"/>
        <item x="165"/>
        <item x="148"/>
        <item x="275"/>
        <item x="256"/>
        <item x="23"/>
        <item x="272"/>
        <item x="291"/>
        <item x="92"/>
        <item x="193"/>
        <item x="60"/>
        <item x="230"/>
        <item x="119"/>
        <item x="22"/>
        <item x="79"/>
        <item x="49"/>
        <item x="31"/>
        <item x="225"/>
        <item x="2"/>
        <item x="244"/>
        <item x="300"/>
        <item x="17"/>
        <item x="6"/>
        <item x="254"/>
        <item x="206"/>
        <item x="32"/>
        <item x="41"/>
        <item x="160"/>
        <item x="219"/>
        <item x="86"/>
        <item x="204"/>
        <item x="58"/>
        <item x="192"/>
        <item x="67"/>
        <item x="241"/>
        <item x="84"/>
        <item x="155"/>
        <item x="138"/>
        <item x="106"/>
        <item x="105"/>
        <item x="13"/>
        <item x="65"/>
        <item x="66"/>
        <item x="187"/>
        <item x="48"/>
        <item x="77"/>
        <item x="25"/>
        <item x="91"/>
        <item x="128"/>
        <item x="271"/>
        <item x="75"/>
        <item x="76"/>
        <item x="211"/>
        <item x="218"/>
        <item x="5"/>
        <item x="267"/>
        <item x="238"/>
        <item x="176"/>
        <item x="268"/>
        <item x="136"/>
        <item x="126"/>
        <item x="95"/>
        <item x="182"/>
        <item x="144"/>
        <item x="162"/>
        <item x="78"/>
        <item x="11"/>
        <item x="223"/>
        <item x="273"/>
        <item x="194"/>
        <item x="24"/>
        <item x="10"/>
        <item x="184"/>
        <item x="147"/>
        <item x="69"/>
        <item x="270"/>
        <item x="174"/>
        <item x="297"/>
        <item x="233"/>
        <item x="278"/>
        <item x="277"/>
        <item x="260"/>
        <item x="249"/>
        <item x="294"/>
        <item x="12"/>
        <item x="205"/>
        <item x="305"/>
        <item x="7"/>
        <item x="183"/>
        <item x="139"/>
        <item x="214"/>
        <item x="121"/>
        <item x="179"/>
        <item x="280"/>
        <item x="101"/>
        <item x="189"/>
        <item x="61"/>
        <item x="196"/>
        <item x="36"/>
        <item x="200"/>
        <item x="35"/>
        <item x="68"/>
        <item x="39"/>
        <item x="208"/>
        <item x="172"/>
        <item x="111"/>
        <item x="88"/>
        <item x="237"/>
        <item x="132"/>
        <item x="240"/>
        <item x="45"/>
        <item x="46"/>
        <item x="44"/>
        <item x="197"/>
        <item x="227"/>
        <item x="85"/>
        <item x="43"/>
        <item x="27"/>
        <item x="212"/>
        <item x="87"/>
        <item x="250"/>
        <item x="82"/>
        <item x="239"/>
        <item x="103"/>
        <item x="231"/>
        <item x="281"/>
        <item x="0"/>
        <item x="161"/>
        <item x="166"/>
        <item x="94"/>
        <item x="177"/>
        <item x="107"/>
        <item x="102"/>
        <item x="246"/>
        <item x="112"/>
        <item x="90"/>
        <item x="221"/>
        <item x="279"/>
        <item x="120"/>
        <item x="29"/>
        <item x="141"/>
        <item x="15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</pivotFields>
  <rowFields count="1">
    <field x="1"/>
  </rowFields>
  <rowItems count="308">
    <i>
      <x v="125"/>
    </i>
    <i>
      <x v="207"/>
    </i>
    <i>
      <x v="206"/>
    </i>
    <i>
      <x v="216"/>
    </i>
    <i>
      <x v="215"/>
    </i>
    <i>
      <x v="265"/>
    </i>
    <i>
      <x v="196"/>
    </i>
    <i>
      <x v="164"/>
    </i>
    <i>
      <x v="6"/>
    </i>
    <i>
      <x v="232"/>
    </i>
    <i>
      <x v="7"/>
    </i>
    <i>
      <x v="297"/>
    </i>
    <i>
      <x v="8"/>
    </i>
    <i>
      <x v="180"/>
    </i>
    <i>
      <x v="9"/>
    </i>
    <i>
      <x v="212"/>
    </i>
    <i>
      <x v="10"/>
    </i>
    <i>
      <x v="248"/>
    </i>
    <i>
      <x v="11"/>
    </i>
    <i>
      <x v="281"/>
    </i>
    <i>
      <x v="12"/>
    </i>
    <i>
      <x v="156"/>
    </i>
    <i>
      <x v="13"/>
    </i>
    <i>
      <x v="172"/>
    </i>
    <i>
      <x v="14"/>
    </i>
    <i>
      <x v="188"/>
    </i>
    <i>
      <x v="15"/>
    </i>
    <i>
      <x v="204"/>
    </i>
    <i>
      <x v="16"/>
    </i>
    <i>
      <x v="224"/>
    </i>
    <i>
      <x v="17"/>
    </i>
    <i>
      <x v="240"/>
    </i>
    <i>
      <x v="18"/>
    </i>
    <i>
      <x v="257"/>
    </i>
    <i>
      <x v="19"/>
    </i>
    <i>
      <x v="273"/>
    </i>
    <i>
      <x v="20"/>
    </i>
    <i>
      <x v="289"/>
    </i>
    <i>
      <x v="21"/>
    </i>
    <i>
      <x v="305"/>
    </i>
    <i>
      <x v="22"/>
    </i>
    <i>
      <x v="160"/>
    </i>
    <i>
      <x v="23"/>
    </i>
    <i>
      <x v="168"/>
    </i>
    <i>
      <x v="24"/>
    </i>
    <i>
      <x v="176"/>
    </i>
    <i>
      <x v="25"/>
    </i>
    <i>
      <x v="184"/>
    </i>
    <i>
      <x v="26"/>
    </i>
    <i>
      <x v="192"/>
    </i>
    <i>
      <x v="27"/>
    </i>
    <i>
      <x v="200"/>
    </i>
    <i>
      <x v="28"/>
    </i>
    <i>
      <x v="208"/>
    </i>
    <i>
      <x v="29"/>
    </i>
    <i>
      <x v="220"/>
    </i>
    <i>
      <x v="30"/>
    </i>
    <i>
      <x v="228"/>
    </i>
    <i>
      <x v="31"/>
    </i>
    <i>
      <x v="236"/>
    </i>
    <i>
      <x v="32"/>
    </i>
    <i>
      <x v="244"/>
    </i>
    <i>
      <x v="33"/>
    </i>
    <i>
      <x v="1"/>
    </i>
    <i>
      <x v="34"/>
    </i>
    <i>
      <x v="261"/>
    </i>
    <i>
      <x v="35"/>
    </i>
    <i>
      <x v="269"/>
    </i>
    <i>
      <x v="36"/>
    </i>
    <i>
      <x v="277"/>
    </i>
    <i>
      <x v="37"/>
    </i>
    <i>
      <x v="285"/>
    </i>
    <i>
      <x v="38"/>
    </i>
    <i>
      <x v="293"/>
    </i>
    <i>
      <x v="39"/>
    </i>
    <i>
      <x v="301"/>
    </i>
    <i>
      <x v="40"/>
    </i>
    <i>
      <x v="154"/>
    </i>
    <i>
      <x v="41"/>
    </i>
    <i>
      <x v="158"/>
    </i>
    <i>
      <x v="42"/>
    </i>
    <i>
      <x v="162"/>
    </i>
    <i>
      <x v="43"/>
    </i>
    <i>
      <x v="166"/>
    </i>
    <i>
      <x v="44"/>
    </i>
    <i>
      <x v="170"/>
    </i>
    <i>
      <x v="45"/>
    </i>
    <i>
      <x v="174"/>
    </i>
    <i>
      <x v="46"/>
    </i>
    <i>
      <x v="178"/>
    </i>
    <i>
      <x v="47"/>
    </i>
    <i>
      <x v="182"/>
    </i>
    <i>
      <x v="48"/>
    </i>
    <i>
      <x v="186"/>
    </i>
    <i>
      <x v="49"/>
    </i>
    <i>
      <x v="190"/>
    </i>
    <i>
      <x v="50"/>
    </i>
    <i>
      <x v="194"/>
    </i>
    <i>
      <x v="51"/>
    </i>
    <i>
      <x v="198"/>
    </i>
    <i>
      <x v="52"/>
    </i>
    <i>
      <x v="202"/>
    </i>
    <i>
      <x v="53"/>
    </i>
    <i>
      <x v="3"/>
    </i>
    <i>
      <x v="54"/>
    </i>
    <i>
      <x v="210"/>
    </i>
    <i>
      <x v="55"/>
    </i>
    <i>
      <x v="5"/>
    </i>
    <i>
      <x v="56"/>
    </i>
    <i>
      <x v="222"/>
    </i>
    <i>
      <x v="57"/>
    </i>
    <i>
      <x v="226"/>
    </i>
    <i>
      <x v="58"/>
    </i>
    <i>
      <x v="230"/>
    </i>
    <i>
      <x v="59"/>
    </i>
    <i>
      <x v="234"/>
    </i>
    <i>
      <x v="60"/>
    </i>
    <i>
      <x v="238"/>
    </i>
    <i>
      <x v="61"/>
    </i>
    <i>
      <x v="242"/>
    </i>
    <i>
      <x v="62"/>
    </i>
    <i>
      <x v="246"/>
    </i>
    <i>
      <x v="63"/>
    </i>
    <i>
      <x v="250"/>
    </i>
    <i>
      <x v="64"/>
    </i>
    <i>
      <x v="255"/>
    </i>
    <i>
      <x v="65"/>
    </i>
    <i>
      <x v="259"/>
    </i>
    <i>
      <x v="66"/>
    </i>
    <i>
      <x v="263"/>
    </i>
    <i>
      <x v="67"/>
    </i>
    <i>
      <x v="267"/>
    </i>
    <i>
      <x v="68"/>
    </i>
    <i>
      <x v="271"/>
    </i>
    <i>
      <x v="69"/>
    </i>
    <i>
      <x v="275"/>
    </i>
    <i>
      <x v="70"/>
    </i>
    <i>
      <x v="279"/>
    </i>
    <i>
      <x v="71"/>
    </i>
    <i>
      <x v="283"/>
    </i>
    <i>
      <x v="72"/>
    </i>
    <i>
      <x v="287"/>
    </i>
    <i>
      <x v="73"/>
    </i>
    <i>
      <x v="291"/>
    </i>
    <i>
      <x v="74"/>
    </i>
    <i>
      <x v="295"/>
    </i>
    <i>
      <x v="75"/>
    </i>
    <i>
      <x v="299"/>
    </i>
    <i>
      <x v="76"/>
    </i>
    <i>
      <x v="303"/>
    </i>
    <i>
      <x v="77"/>
    </i>
    <i>
      <x/>
    </i>
    <i>
      <x v="78"/>
    </i>
    <i>
      <x v="155"/>
    </i>
    <i>
      <x v="79"/>
    </i>
    <i>
      <x v="157"/>
    </i>
    <i>
      <x v="80"/>
    </i>
    <i>
      <x v="159"/>
    </i>
    <i>
      <x v="81"/>
    </i>
    <i>
      <x v="161"/>
    </i>
    <i>
      <x v="82"/>
    </i>
    <i>
      <x v="163"/>
    </i>
    <i>
      <x v="83"/>
    </i>
    <i>
      <x v="165"/>
    </i>
    <i>
      <x v="84"/>
    </i>
    <i>
      <x v="167"/>
    </i>
    <i>
      <x v="85"/>
    </i>
    <i>
      <x v="169"/>
    </i>
    <i>
      <x v="86"/>
    </i>
    <i>
      <x v="171"/>
    </i>
    <i>
      <x v="87"/>
    </i>
    <i>
      <x v="173"/>
    </i>
    <i>
      <x v="88"/>
    </i>
    <i>
      <x v="175"/>
    </i>
    <i>
      <x v="89"/>
    </i>
    <i>
      <x v="177"/>
    </i>
    <i>
      <x v="90"/>
    </i>
    <i>
      <x v="179"/>
    </i>
    <i>
      <x v="91"/>
    </i>
    <i>
      <x v="181"/>
    </i>
    <i>
      <x v="92"/>
    </i>
    <i>
      <x v="183"/>
    </i>
    <i>
      <x v="93"/>
    </i>
    <i>
      <x v="185"/>
    </i>
    <i>
      <x v="94"/>
    </i>
    <i>
      <x v="187"/>
    </i>
    <i>
      <x v="95"/>
    </i>
    <i>
      <x v="189"/>
    </i>
    <i>
      <x v="96"/>
    </i>
    <i>
      <x v="191"/>
    </i>
    <i>
      <x v="97"/>
    </i>
    <i>
      <x v="193"/>
    </i>
    <i>
      <x v="98"/>
    </i>
    <i>
      <x v="195"/>
    </i>
    <i>
      <x v="99"/>
    </i>
    <i>
      <x v="197"/>
    </i>
    <i>
      <x v="100"/>
    </i>
    <i>
      <x v="199"/>
    </i>
    <i>
      <x v="101"/>
    </i>
    <i>
      <x v="201"/>
    </i>
    <i>
      <x v="102"/>
    </i>
    <i>
      <x v="203"/>
    </i>
    <i>
      <x v="103"/>
    </i>
    <i>
      <x v="205"/>
    </i>
    <i>
      <x v="104"/>
    </i>
    <i>
      <x v="4"/>
    </i>
    <i>
      <x v="105"/>
    </i>
    <i>
      <x v="209"/>
    </i>
    <i>
      <x v="106"/>
    </i>
    <i>
      <x v="211"/>
    </i>
    <i>
      <x v="214"/>
    </i>
    <i>
      <x v="213"/>
    </i>
    <i>
      <x v="2"/>
    </i>
    <i>
      <x v="218"/>
    </i>
    <i>
      <x v="107"/>
    </i>
    <i>
      <x v="217"/>
    </i>
    <i>
      <x v="108"/>
    </i>
    <i>
      <x v="219"/>
    </i>
    <i>
      <x v="109"/>
    </i>
    <i>
      <x v="221"/>
    </i>
    <i>
      <x v="110"/>
    </i>
    <i>
      <x v="223"/>
    </i>
    <i>
      <x v="111"/>
    </i>
    <i>
      <x v="225"/>
    </i>
    <i>
      <x v="112"/>
    </i>
    <i>
      <x v="227"/>
    </i>
    <i>
      <x v="113"/>
    </i>
    <i>
      <x v="229"/>
    </i>
    <i>
      <x v="114"/>
    </i>
    <i>
      <x v="231"/>
    </i>
    <i>
      <x v="115"/>
    </i>
    <i>
      <x v="233"/>
    </i>
    <i>
      <x v="116"/>
    </i>
    <i>
      <x v="235"/>
    </i>
    <i>
      <x v="117"/>
    </i>
    <i>
      <x v="237"/>
    </i>
    <i>
      <x v="118"/>
    </i>
    <i>
      <x v="239"/>
    </i>
    <i>
      <x v="119"/>
    </i>
    <i>
      <x v="241"/>
    </i>
    <i>
      <x v="120"/>
    </i>
    <i>
      <x v="243"/>
    </i>
    <i>
      <x v="121"/>
    </i>
    <i>
      <x v="245"/>
    </i>
    <i>
      <x v="122"/>
    </i>
    <i>
      <x v="247"/>
    </i>
    <i>
      <x v="123"/>
    </i>
    <i>
      <x v="249"/>
    </i>
    <i>
      <x v="124"/>
    </i>
    <i>
      <x v="251"/>
    </i>
    <i>
      <x v="252"/>
    </i>
    <i>
      <x v="253"/>
    </i>
    <i>
      <x v="254"/>
    </i>
    <i>
      <x v="126"/>
    </i>
    <i>
      <x v="256"/>
    </i>
    <i>
      <x v="127"/>
    </i>
    <i>
      <x v="258"/>
    </i>
    <i>
      <x v="128"/>
    </i>
    <i>
      <x v="260"/>
    </i>
    <i>
      <x v="129"/>
    </i>
    <i>
      <x v="262"/>
    </i>
    <i>
      <x v="130"/>
    </i>
    <i>
      <x v="264"/>
    </i>
    <i>
      <x v="131"/>
    </i>
    <i>
      <x v="266"/>
    </i>
    <i>
      <x v="132"/>
    </i>
    <i>
      <x v="268"/>
    </i>
    <i>
      <x v="133"/>
    </i>
    <i>
      <x v="270"/>
    </i>
    <i>
      <x v="134"/>
    </i>
    <i>
      <x v="272"/>
    </i>
    <i>
      <x v="135"/>
    </i>
    <i>
      <x v="274"/>
    </i>
    <i>
      <x v="136"/>
    </i>
    <i>
      <x v="276"/>
    </i>
    <i>
      <x v="137"/>
    </i>
    <i>
      <x v="278"/>
    </i>
    <i>
      <x v="138"/>
    </i>
    <i>
      <x v="280"/>
    </i>
    <i>
      <x v="139"/>
    </i>
    <i>
      <x v="282"/>
    </i>
    <i>
      <x v="140"/>
    </i>
    <i>
      <x v="284"/>
    </i>
    <i>
      <x v="141"/>
    </i>
    <i>
      <x v="286"/>
    </i>
    <i>
      <x v="142"/>
    </i>
    <i>
      <x v="288"/>
    </i>
    <i>
      <x v="143"/>
    </i>
    <i>
      <x v="290"/>
    </i>
    <i>
      <x v="144"/>
    </i>
    <i>
      <x v="292"/>
    </i>
    <i>
      <x v="145"/>
    </i>
    <i>
      <x v="294"/>
    </i>
    <i>
      <x v="146"/>
    </i>
    <i>
      <x v="296"/>
    </i>
    <i>
      <x v="147"/>
    </i>
    <i>
      <x v="298"/>
    </i>
    <i>
      <x v="148"/>
    </i>
    <i>
      <x v="300"/>
    </i>
    <i>
      <x v="149"/>
    </i>
    <i>
      <x v="302"/>
    </i>
    <i>
      <x v="150"/>
    </i>
    <i>
      <x v="304"/>
    </i>
    <i>
      <x v="151"/>
    </i>
    <i>
      <x v="306"/>
    </i>
    <i>
      <x v="152"/>
    </i>
    <i>
      <x v="15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pin" fld="5" subtotal="count" baseField="0" baseItem="0"/>
    <dataField name="Sum of Assessment_change" fld="10" baseField="0" baseItem="0" numFmtId="164"/>
    <dataField name="Sum of AsrTot" fld="6" baseField="0" baseItem="0" numFmtId="164"/>
    <dataField name="Sum of BrdTot" fld="7" baseField="0" baseItem="0" numFmtId="164"/>
  </dataFields>
  <formats count="2">
    <format dxfId="1">
      <pivotArea outline="0" collapsedLevelsAreSubtotals="1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0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B2639D-8500-43EB-B3C5-E6C9AE4CD5C6}" name="Table1" displayName="Table1" ref="A1:K319" totalsRowShown="0">
  <autoFilter ref="A1:K319" xr:uid="{6ADB0451-21D3-4695-AEEF-DF23B639757D}"/>
  <sortState xmlns:xlrd2="http://schemas.microsoft.com/office/spreadsheetml/2017/richdata2" ref="A2:K319">
    <sortCondition ref="K1:K319"/>
  </sortState>
  <tableColumns count="11">
    <tableColumn id="1" xr3:uid="{1DA81AAF-965C-4539-948C-12A6D9FBB8A8}" name="AplDAP"/>
    <tableColumn id="2" xr3:uid="{A8185A25-7034-496C-A8CB-B92E35D14E34}" name="KeyPIN"/>
    <tableColumn id="3" xr3:uid="{0EFC3BDC-B5C3-46AE-AF7F-07D5663E6ABF}" name="AplSts"/>
    <tableColumn id="4" xr3:uid="{81DE8110-59D0-4028-8951-B7169ED57C82}" name="AplDec"/>
    <tableColumn id="5" xr3:uid="{6AADCF09-7BD2-45B4-823E-288A53D17DB1}" name="DecCde"/>
    <tableColumn id="6" xr3:uid="{3C8B5580-6D06-49A7-8676-5B963A822F82}" name="pin"/>
    <tableColumn id="7" xr3:uid="{BD87F6F0-FC2D-496E-AE25-344DABC27534}" name="AsrTot"/>
    <tableColumn id="8" xr3:uid="{B6D94994-181C-422D-87CC-5B2ED88E3A3D}" name="BrdTot"/>
    <tableColumn id="9" xr3:uid="{CB4388A7-5C9A-4181-AD98-6FA8B1FB6B80}" name="Class"/>
    <tableColumn id="10" xr3:uid="{7531D8B3-52B1-4866-A7A9-D7279BD8FB91}" name="TaxCode"/>
    <tableColumn id="11" xr3:uid="{47285ED1-11A3-42F4-B8FC-95275AFAF1E7}" name="Assessment_change">
      <calculatedColumnFormula>Table1[[#This Row],[AsrTot]]-Table1[[#This Row],[BrdTot]]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B0451-21D3-4695-AEEF-DF23B639757D}">
  <dimension ref="A1:K319"/>
  <sheetViews>
    <sheetView tabSelected="1" workbookViewId="0">
      <pane ySplit="1" topLeftCell="A2" activePane="bottomLeft" state="frozen"/>
      <selection pane="bottomLeft" activeCell="K1" sqref="K1"/>
    </sheetView>
  </sheetViews>
  <sheetFormatPr defaultRowHeight="14.4" x14ac:dyDescent="0.55000000000000004"/>
  <cols>
    <col min="1" max="1" width="13.578125" bestFit="1" customWidth="1"/>
    <col min="2" max="2" width="18.1015625" bestFit="1" customWidth="1"/>
    <col min="3" max="3" width="23.1015625" customWidth="1"/>
    <col min="4" max="4" width="12.734375" bestFit="1" customWidth="1"/>
    <col min="5" max="5" width="49.734375" bestFit="1" customWidth="1"/>
    <col min="6" max="6" width="18.1015625" bestFit="1" customWidth="1"/>
    <col min="7" max="7" width="7.89453125" customWidth="1"/>
    <col min="8" max="8" width="8.05078125" customWidth="1"/>
    <col min="9" max="9" width="7.26171875" customWidth="1"/>
    <col min="10" max="10" width="9.89453125" customWidth="1"/>
  </cols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639</v>
      </c>
    </row>
    <row r="2" spans="1:11" x14ac:dyDescent="0.55000000000000004">
      <c r="A2" t="s">
        <v>247</v>
      </c>
      <c r="B2" t="s">
        <v>248</v>
      </c>
      <c r="C2" t="s">
        <v>12</v>
      </c>
      <c r="D2" t="s">
        <v>24</v>
      </c>
      <c r="E2" t="s">
        <v>14</v>
      </c>
      <c r="F2" t="s">
        <v>248</v>
      </c>
      <c r="G2">
        <v>15999</v>
      </c>
      <c r="H2">
        <v>15999</v>
      </c>
      <c r="I2">
        <v>202</v>
      </c>
      <c r="J2">
        <v>15002</v>
      </c>
      <c r="K2">
        <f>Table1[[#This Row],[AsrTot]]-Table1[[#This Row],[BrdTot]]</f>
        <v>0</v>
      </c>
    </row>
    <row r="3" spans="1:11" x14ac:dyDescent="0.55000000000000004">
      <c r="A3" t="s">
        <v>317</v>
      </c>
      <c r="B3" t="s">
        <v>318</v>
      </c>
      <c r="C3" t="s">
        <v>12</v>
      </c>
      <c r="D3" t="s">
        <v>24</v>
      </c>
      <c r="E3" t="s">
        <v>14</v>
      </c>
      <c r="F3" t="s">
        <v>318</v>
      </c>
      <c r="G3">
        <v>17999</v>
      </c>
      <c r="H3">
        <v>17999</v>
      </c>
      <c r="I3">
        <v>202</v>
      </c>
      <c r="J3">
        <v>15001</v>
      </c>
      <c r="K3">
        <f>Table1[[#This Row],[AsrTot]]-Table1[[#This Row],[BrdTot]]</f>
        <v>0</v>
      </c>
    </row>
    <row r="4" spans="1:11" x14ac:dyDescent="0.55000000000000004">
      <c r="A4" t="s">
        <v>488</v>
      </c>
      <c r="B4" t="s">
        <v>489</v>
      </c>
      <c r="C4" t="s">
        <v>12</v>
      </c>
      <c r="D4" t="s">
        <v>24</v>
      </c>
      <c r="E4" t="s">
        <v>14</v>
      </c>
      <c r="F4" t="s">
        <v>489</v>
      </c>
      <c r="G4">
        <v>19999</v>
      </c>
      <c r="H4">
        <v>19999</v>
      </c>
      <c r="I4">
        <v>202</v>
      </c>
      <c r="J4">
        <v>15001</v>
      </c>
      <c r="K4">
        <f>Table1[[#This Row],[AsrTot]]-Table1[[#This Row],[BrdTot]]</f>
        <v>0</v>
      </c>
    </row>
    <row r="5" spans="1:11" x14ac:dyDescent="0.55000000000000004">
      <c r="A5" t="s">
        <v>534</v>
      </c>
      <c r="B5" t="s">
        <v>535</v>
      </c>
      <c r="C5" t="s">
        <v>12</v>
      </c>
      <c r="D5" t="s">
        <v>24</v>
      </c>
      <c r="E5" t="s">
        <v>14</v>
      </c>
      <c r="F5" t="s">
        <v>535</v>
      </c>
      <c r="G5">
        <v>18999</v>
      </c>
      <c r="H5">
        <v>18999</v>
      </c>
      <c r="I5">
        <v>202</v>
      </c>
      <c r="J5">
        <v>15001</v>
      </c>
      <c r="K5">
        <f>Table1[[#This Row],[AsrTot]]-Table1[[#This Row],[BrdTot]]</f>
        <v>0</v>
      </c>
    </row>
    <row r="6" spans="1:11" x14ac:dyDescent="0.55000000000000004">
      <c r="A6" t="s">
        <v>549</v>
      </c>
      <c r="B6" t="s">
        <v>550</v>
      </c>
      <c r="C6" t="s">
        <v>12</v>
      </c>
      <c r="D6" t="s">
        <v>24</v>
      </c>
      <c r="E6" t="s">
        <v>14</v>
      </c>
      <c r="F6" t="s">
        <v>550</v>
      </c>
      <c r="G6">
        <v>18000</v>
      </c>
      <c r="H6">
        <v>18000</v>
      </c>
      <c r="I6">
        <v>202</v>
      </c>
      <c r="J6">
        <v>15001</v>
      </c>
      <c r="K6">
        <f>Table1[[#This Row],[AsrTot]]-Table1[[#This Row],[BrdTot]]</f>
        <v>0</v>
      </c>
    </row>
    <row r="7" spans="1:11" x14ac:dyDescent="0.55000000000000004">
      <c r="A7" t="s">
        <v>615</v>
      </c>
      <c r="B7" t="s">
        <v>616</v>
      </c>
      <c r="C7" t="s">
        <v>12</v>
      </c>
      <c r="D7" t="s">
        <v>24</v>
      </c>
      <c r="E7" t="s">
        <v>14</v>
      </c>
      <c r="F7" t="s">
        <v>616</v>
      </c>
      <c r="G7">
        <v>20999</v>
      </c>
      <c r="H7">
        <v>20999</v>
      </c>
      <c r="I7">
        <v>202</v>
      </c>
      <c r="J7">
        <v>11002</v>
      </c>
      <c r="K7">
        <f>Table1[[#This Row],[AsrTot]]-Table1[[#This Row],[BrdTot]]</f>
        <v>0</v>
      </c>
    </row>
    <row r="8" spans="1:11" x14ac:dyDescent="0.55000000000000004">
      <c r="A8" t="s">
        <v>623</v>
      </c>
      <c r="B8" t="s">
        <v>624</v>
      </c>
      <c r="C8" t="s">
        <v>12</v>
      </c>
      <c r="D8" t="s">
        <v>24</v>
      </c>
      <c r="E8" t="s">
        <v>14</v>
      </c>
      <c r="F8" t="s">
        <v>624</v>
      </c>
      <c r="G8">
        <v>14999</v>
      </c>
      <c r="H8">
        <v>14999</v>
      </c>
      <c r="I8">
        <v>202</v>
      </c>
      <c r="J8">
        <v>15001</v>
      </c>
      <c r="K8">
        <f>Table1[[#This Row],[AsrTot]]-Table1[[#This Row],[BrdTot]]</f>
        <v>0</v>
      </c>
    </row>
    <row r="9" spans="1:11" x14ac:dyDescent="0.55000000000000004">
      <c r="A9" t="s">
        <v>22</v>
      </c>
      <c r="B9" t="s">
        <v>23</v>
      </c>
      <c r="C9" t="s">
        <v>12</v>
      </c>
      <c r="D9" t="s">
        <v>24</v>
      </c>
      <c r="E9" t="s">
        <v>14</v>
      </c>
      <c r="F9" t="s">
        <v>23</v>
      </c>
      <c r="G9">
        <v>20999</v>
      </c>
      <c r="H9">
        <v>20999</v>
      </c>
      <c r="I9">
        <v>203</v>
      </c>
      <c r="J9">
        <v>11002</v>
      </c>
      <c r="K9">
        <f>Table1[[#This Row],[AsrTot]]-Table1[[#This Row],[BrdTot]]</f>
        <v>0</v>
      </c>
    </row>
    <row r="10" spans="1:11" x14ac:dyDescent="0.55000000000000004">
      <c r="A10" t="s">
        <v>46</v>
      </c>
      <c r="B10" t="s">
        <v>47</v>
      </c>
      <c r="C10" t="s">
        <v>12</v>
      </c>
      <c r="D10" t="s">
        <v>24</v>
      </c>
      <c r="E10" t="s">
        <v>14</v>
      </c>
      <c r="F10" t="s">
        <v>47</v>
      </c>
      <c r="G10">
        <v>18999</v>
      </c>
      <c r="H10">
        <v>18999</v>
      </c>
      <c r="I10">
        <v>203</v>
      </c>
      <c r="J10">
        <v>15001</v>
      </c>
      <c r="K10">
        <f>Table1[[#This Row],[AsrTot]]-Table1[[#This Row],[BrdTot]]</f>
        <v>0</v>
      </c>
    </row>
    <row r="11" spans="1:11" x14ac:dyDescent="0.55000000000000004">
      <c r="A11" t="s">
        <v>83</v>
      </c>
      <c r="B11" t="s">
        <v>84</v>
      </c>
      <c r="C11" t="s">
        <v>12</v>
      </c>
      <c r="D11" t="s">
        <v>24</v>
      </c>
      <c r="E11" t="s">
        <v>14</v>
      </c>
      <c r="F11" t="s">
        <v>84</v>
      </c>
      <c r="G11">
        <v>24000</v>
      </c>
      <c r="H11">
        <v>24000</v>
      </c>
      <c r="I11">
        <v>203</v>
      </c>
      <c r="J11">
        <v>11001</v>
      </c>
      <c r="K11">
        <f>Table1[[#This Row],[AsrTot]]-Table1[[#This Row],[BrdTot]]</f>
        <v>0</v>
      </c>
    </row>
    <row r="12" spans="1:11" x14ac:dyDescent="0.55000000000000004">
      <c r="A12" t="s">
        <v>85</v>
      </c>
      <c r="B12" t="s">
        <v>86</v>
      </c>
      <c r="C12" t="s">
        <v>12</v>
      </c>
      <c r="D12" t="s">
        <v>24</v>
      </c>
      <c r="E12" t="s">
        <v>14</v>
      </c>
      <c r="F12" t="s">
        <v>86</v>
      </c>
      <c r="G12">
        <v>24999</v>
      </c>
      <c r="H12">
        <v>24999</v>
      </c>
      <c r="I12">
        <v>203</v>
      </c>
      <c r="J12">
        <v>11002</v>
      </c>
      <c r="K12">
        <f>Table1[[#This Row],[AsrTot]]-Table1[[#This Row],[BrdTot]]</f>
        <v>0</v>
      </c>
    </row>
    <row r="13" spans="1:11" x14ac:dyDescent="0.55000000000000004">
      <c r="A13" t="s">
        <v>89</v>
      </c>
      <c r="B13" t="s">
        <v>90</v>
      </c>
      <c r="C13" t="s">
        <v>12</v>
      </c>
      <c r="D13" t="s">
        <v>24</v>
      </c>
      <c r="E13" t="s">
        <v>14</v>
      </c>
      <c r="F13" t="s">
        <v>90</v>
      </c>
      <c r="G13">
        <v>21999</v>
      </c>
      <c r="H13">
        <v>21999</v>
      </c>
      <c r="I13">
        <v>203</v>
      </c>
      <c r="J13">
        <v>11002</v>
      </c>
      <c r="K13">
        <f>Table1[[#This Row],[AsrTot]]-Table1[[#This Row],[BrdTot]]</f>
        <v>0</v>
      </c>
    </row>
    <row r="14" spans="1:11" x14ac:dyDescent="0.55000000000000004">
      <c r="A14" t="s">
        <v>93</v>
      </c>
      <c r="B14" t="s">
        <v>94</v>
      </c>
      <c r="C14" t="s">
        <v>12</v>
      </c>
      <c r="D14" t="s">
        <v>24</v>
      </c>
      <c r="E14" t="s">
        <v>14</v>
      </c>
      <c r="F14" t="s">
        <v>94</v>
      </c>
      <c r="G14">
        <v>24999</v>
      </c>
      <c r="H14">
        <v>24999</v>
      </c>
      <c r="I14">
        <v>203</v>
      </c>
      <c r="J14">
        <v>11002</v>
      </c>
      <c r="K14">
        <f>Table1[[#This Row],[AsrTot]]-Table1[[#This Row],[BrdTot]]</f>
        <v>0</v>
      </c>
    </row>
    <row r="15" spans="1:11" x14ac:dyDescent="0.55000000000000004">
      <c r="A15" t="s">
        <v>129</v>
      </c>
      <c r="B15" t="s">
        <v>130</v>
      </c>
      <c r="C15" t="s">
        <v>12</v>
      </c>
      <c r="D15" t="s">
        <v>24</v>
      </c>
      <c r="E15" t="s">
        <v>14</v>
      </c>
      <c r="F15" t="s">
        <v>130</v>
      </c>
      <c r="G15">
        <v>16999</v>
      </c>
      <c r="H15">
        <v>16999</v>
      </c>
      <c r="I15">
        <v>203</v>
      </c>
      <c r="J15">
        <v>15001</v>
      </c>
      <c r="K15">
        <f>Table1[[#This Row],[AsrTot]]-Table1[[#This Row],[BrdTot]]</f>
        <v>0</v>
      </c>
    </row>
    <row r="16" spans="1:11" x14ac:dyDescent="0.55000000000000004">
      <c r="A16" t="s">
        <v>193</v>
      </c>
      <c r="B16" t="s">
        <v>194</v>
      </c>
      <c r="C16" t="s">
        <v>12</v>
      </c>
      <c r="D16" t="s">
        <v>24</v>
      </c>
      <c r="E16" t="s">
        <v>14</v>
      </c>
      <c r="F16" t="s">
        <v>194</v>
      </c>
      <c r="G16">
        <v>17999</v>
      </c>
      <c r="H16">
        <v>17999</v>
      </c>
      <c r="I16">
        <v>203</v>
      </c>
      <c r="J16">
        <v>15001</v>
      </c>
      <c r="K16">
        <f>Table1[[#This Row],[AsrTot]]-Table1[[#This Row],[BrdTot]]</f>
        <v>0</v>
      </c>
    </row>
    <row r="17" spans="1:11" x14ac:dyDescent="0.55000000000000004">
      <c r="A17" t="s">
        <v>229</v>
      </c>
      <c r="B17" t="s">
        <v>230</v>
      </c>
      <c r="C17" t="s">
        <v>12</v>
      </c>
      <c r="D17" t="s">
        <v>24</v>
      </c>
      <c r="E17" t="s">
        <v>14</v>
      </c>
      <c r="F17" t="s">
        <v>230</v>
      </c>
      <c r="G17">
        <v>21000</v>
      </c>
      <c r="H17">
        <v>21000</v>
      </c>
      <c r="I17">
        <v>203</v>
      </c>
      <c r="J17">
        <v>15001</v>
      </c>
      <c r="K17">
        <f>Table1[[#This Row],[AsrTot]]-Table1[[#This Row],[BrdTot]]</f>
        <v>0</v>
      </c>
    </row>
    <row r="18" spans="1:11" x14ac:dyDescent="0.55000000000000004">
      <c r="A18" t="s">
        <v>241</v>
      </c>
      <c r="B18" t="s">
        <v>242</v>
      </c>
      <c r="C18" t="s">
        <v>12</v>
      </c>
      <c r="D18" t="s">
        <v>24</v>
      </c>
      <c r="E18" t="s">
        <v>14</v>
      </c>
      <c r="F18" t="s">
        <v>242</v>
      </c>
      <c r="G18">
        <v>18999</v>
      </c>
      <c r="H18">
        <v>18999</v>
      </c>
      <c r="I18">
        <v>203</v>
      </c>
      <c r="J18">
        <v>15001</v>
      </c>
      <c r="K18">
        <f>Table1[[#This Row],[AsrTot]]-Table1[[#This Row],[BrdTot]]</f>
        <v>0</v>
      </c>
    </row>
    <row r="19" spans="1:11" x14ac:dyDescent="0.55000000000000004">
      <c r="A19" t="s">
        <v>295</v>
      </c>
      <c r="B19" t="s">
        <v>296</v>
      </c>
      <c r="C19" t="s">
        <v>12</v>
      </c>
      <c r="D19" t="s">
        <v>24</v>
      </c>
      <c r="E19" t="s">
        <v>14</v>
      </c>
      <c r="F19" t="s">
        <v>296</v>
      </c>
      <c r="G19">
        <v>16487</v>
      </c>
      <c r="H19">
        <v>16487</v>
      </c>
      <c r="I19">
        <v>203</v>
      </c>
      <c r="J19">
        <v>15001</v>
      </c>
      <c r="K19">
        <f>Table1[[#This Row],[AsrTot]]-Table1[[#This Row],[BrdTot]]</f>
        <v>0</v>
      </c>
    </row>
    <row r="20" spans="1:11" x14ac:dyDescent="0.55000000000000004">
      <c r="A20" t="s">
        <v>301</v>
      </c>
      <c r="B20" t="s">
        <v>302</v>
      </c>
      <c r="C20" t="s">
        <v>12</v>
      </c>
      <c r="D20" t="s">
        <v>24</v>
      </c>
      <c r="E20" t="s">
        <v>14</v>
      </c>
      <c r="F20" t="s">
        <v>302</v>
      </c>
      <c r="G20">
        <v>22999</v>
      </c>
      <c r="H20">
        <v>22999</v>
      </c>
      <c r="I20">
        <v>203</v>
      </c>
      <c r="J20">
        <v>15001</v>
      </c>
      <c r="K20">
        <f>Table1[[#This Row],[AsrTot]]-Table1[[#This Row],[BrdTot]]</f>
        <v>0</v>
      </c>
    </row>
    <row r="21" spans="1:11" x14ac:dyDescent="0.55000000000000004">
      <c r="A21" t="s">
        <v>351</v>
      </c>
      <c r="B21" t="s">
        <v>352</v>
      </c>
      <c r="C21" t="s">
        <v>12</v>
      </c>
      <c r="D21" t="s">
        <v>24</v>
      </c>
      <c r="E21" t="s">
        <v>14</v>
      </c>
      <c r="F21" t="s">
        <v>352</v>
      </c>
      <c r="G21">
        <v>20000</v>
      </c>
      <c r="H21">
        <v>20000</v>
      </c>
      <c r="I21">
        <v>203</v>
      </c>
      <c r="J21">
        <v>11001</v>
      </c>
      <c r="K21">
        <f>Table1[[#This Row],[AsrTot]]-Table1[[#This Row],[BrdTot]]</f>
        <v>0</v>
      </c>
    </row>
    <row r="22" spans="1:11" x14ac:dyDescent="0.55000000000000004">
      <c r="A22" t="s">
        <v>384</v>
      </c>
      <c r="B22" t="s">
        <v>385</v>
      </c>
      <c r="C22" t="s">
        <v>12</v>
      </c>
      <c r="D22" t="s">
        <v>24</v>
      </c>
      <c r="E22" t="s">
        <v>14</v>
      </c>
      <c r="F22" t="s">
        <v>385</v>
      </c>
      <c r="G22">
        <v>19999</v>
      </c>
      <c r="H22">
        <v>19999</v>
      </c>
      <c r="I22">
        <v>203</v>
      </c>
      <c r="J22">
        <v>15001</v>
      </c>
      <c r="K22">
        <f>Table1[[#This Row],[AsrTot]]-Table1[[#This Row],[BrdTot]]</f>
        <v>0</v>
      </c>
    </row>
    <row r="23" spans="1:11" x14ac:dyDescent="0.55000000000000004">
      <c r="A23" t="s">
        <v>396</v>
      </c>
      <c r="B23" t="s">
        <v>397</v>
      </c>
      <c r="C23" t="s">
        <v>12</v>
      </c>
      <c r="D23" t="s">
        <v>24</v>
      </c>
      <c r="E23" t="s">
        <v>14</v>
      </c>
      <c r="F23" t="s">
        <v>397</v>
      </c>
      <c r="G23">
        <v>23999</v>
      </c>
      <c r="H23">
        <v>23999</v>
      </c>
      <c r="I23">
        <v>203</v>
      </c>
      <c r="J23">
        <v>15001</v>
      </c>
      <c r="K23">
        <f>Table1[[#This Row],[AsrTot]]-Table1[[#This Row],[BrdTot]]</f>
        <v>0</v>
      </c>
    </row>
    <row r="24" spans="1:11" x14ac:dyDescent="0.55000000000000004">
      <c r="A24" t="s">
        <v>468</v>
      </c>
      <c r="B24" t="s">
        <v>469</v>
      </c>
      <c r="C24" t="s">
        <v>12</v>
      </c>
      <c r="D24" t="s">
        <v>24</v>
      </c>
      <c r="E24" t="s">
        <v>14</v>
      </c>
      <c r="F24" t="s">
        <v>469</v>
      </c>
      <c r="G24">
        <v>18000</v>
      </c>
      <c r="H24">
        <v>18000</v>
      </c>
      <c r="I24">
        <v>203</v>
      </c>
      <c r="J24">
        <v>15001</v>
      </c>
      <c r="K24">
        <f>Table1[[#This Row],[AsrTot]]-Table1[[#This Row],[BrdTot]]</f>
        <v>0</v>
      </c>
    </row>
    <row r="25" spans="1:11" x14ac:dyDescent="0.55000000000000004">
      <c r="A25" t="s">
        <v>502</v>
      </c>
      <c r="B25" t="s">
        <v>503</v>
      </c>
      <c r="C25" t="s">
        <v>12</v>
      </c>
      <c r="D25" t="s">
        <v>24</v>
      </c>
      <c r="E25" t="s">
        <v>14</v>
      </c>
      <c r="F25" t="s">
        <v>503</v>
      </c>
      <c r="G25">
        <v>18171</v>
      </c>
      <c r="H25">
        <v>18171</v>
      </c>
      <c r="I25">
        <v>203</v>
      </c>
      <c r="J25">
        <v>15005</v>
      </c>
      <c r="K25">
        <f>Table1[[#This Row],[AsrTot]]-Table1[[#This Row],[BrdTot]]</f>
        <v>0</v>
      </c>
    </row>
    <row r="26" spans="1:11" x14ac:dyDescent="0.55000000000000004">
      <c r="A26" t="s">
        <v>516</v>
      </c>
      <c r="B26" t="s">
        <v>517</v>
      </c>
      <c r="C26" t="s">
        <v>12</v>
      </c>
      <c r="D26" t="s">
        <v>24</v>
      </c>
      <c r="E26" t="s">
        <v>14</v>
      </c>
      <c r="F26" t="s">
        <v>517</v>
      </c>
      <c r="G26">
        <v>19999</v>
      </c>
      <c r="H26">
        <v>19999</v>
      </c>
      <c r="I26">
        <v>203</v>
      </c>
      <c r="J26">
        <v>11002</v>
      </c>
      <c r="K26">
        <f>Table1[[#This Row],[AsrTot]]-Table1[[#This Row],[BrdTot]]</f>
        <v>0</v>
      </c>
    </row>
    <row r="27" spans="1:11" x14ac:dyDescent="0.55000000000000004">
      <c r="A27" t="s">
        <v>522</v>
      </c>
      <c r="B27" t="s">
        <v>523</v>
      </c>
      <c r="C27" t="s">
        <v>12</v>
      </c>
      <c r="D27" t="s">
        <v>24</v>
      </c>
      <c r="E27" t="s">
        <v>14</v>
      </c>
      <c r="F27" t="s">
        <v>523</v>
      </c>
      <c r="G27">
        <v>16999</v>
      </c>
      <c r="H27">
        <v>16999</v>
      </c>
      <c r="I27">
        <v>203</v>
      </c>
      <c r="J27">
        <v>15001</v>
      </c>
      <c r="K27">
        <f>Table1[[#This Row],[AsrTot]]-Table1[[#This Row],[BrdTot]]</f>
        <v>0</v>
      </c>
    </row>
    <row r="28" spans="1:11" x14ac:dyDescent="0.55000000000000004">
      <c r="A28" t="s">
        <v>543</v>
      </c>
      <c r="B28" t="s">
        <v>544</v>
      </c>
      <c r="C28" t="s">
        <v>12</v>
      </c>
      <c r="D28" t="s">
        <v>24</v>
      </c>
      <c r="E28" t="s">
        <v>14</v>
      </c>
      <c r="F28" t="s">
        <v>544</v>
      </c>
      <c r="G28">
        <v>25999</v>
      </c>
      <c r="H28">
        <v>25999</v>
      </c>
      <c r="I28">
        <v>203</v>
      </c>
      <c r="J28">
        <v>15001</v>
      </c>
      <c r="K28">
        <f>Table1[[#This Row],[AsrTot]]-Table1[[#This Row],[BrdTot]]</f>
        <v>0</v>
      </c>
    </row>
    <row r="29" spans="1:11" x14ac:dyDescent="0.55000000000000004">
      <c r="A29" t="s">
        <v>567</v>
      </c>
      <c r="B29" t="s">
        <v>568</v>
      </c>
      <c r="C29" t="s">
        <v>12</v>
      </c>
      <c r="D29" t="s">
        <v>24</v>
      </c>
      <c r="E29" t="s">
        <v>14</v>
      </c>
      <c r="F29" t="s">
        <v>568</v>
      </c>
      <c r="G29">
        <v>17999</v>
      </c>
      <c r="H29">
        <v>17999</v>
      </c>
      <c r="I29">
        <v>203</v>
      </c>
      <c r="J29">
        <v>15002</v>
      </c>
      <c r="K29">
        <f>Table1[[#This Row],[AsrTot]]-Table1[[#This Row],[BrdTot]]</f>
        <v>0</v>
      </c>
    </row>
    <row r="30" spans="1:11" x14ac:dyDescent="0.55000000000000004">
      <c r="A30" t="s">
        <v>571</v>
      </c>
      <c r="B30" t="s">
        <v>572</v>
      </c>
      <c r="C30" t="s">
        <v>12</v>
      </c>
      <c r="D30" t="s">
        <v>24</v>
      </c>
      <c r="E30" t="s">
        <v>14</v>
      </c>
      <c r="F30" t="s">
        <v>572</v>
      </c>
      <c r="G30">
        <v>17999</v>
      </c>
      <c r="H30">
        <v>17999</v>
      </c>
      <c r="I30">
        <v>203</v>
      </c>
      <c r="J30">
        <v>15001</v>
      </c>
      <c r="K30">
        <f>Table1[[#This Row],[AsrTot]]-Table1[[#This Row],[BrdTot]]</f>
        <v>0</v>
      </c>
    </row>
    <row r="31" spans="1:11" x14ac:dyDescent="0.55000000000000004">
      <c r="A31" t="s">
        <v>605</v>
      </c>
      <c r="B31" t="s">
        <v>606</v>
      </c>
      <c r="C31" t="s">
        <v>12</v>
      </c>
      <c r="D31" t="s">
        <v>24</v>
      </c>
      <c r="E31" t="s">
        <v>14</v>
      </c>
      <c r="F31" t="s">
        <v>606</v>
      </c>
      <c r="G31">
        <v>20999</v>
      </c>
      <c r="H31">
        <v>20999</v>
      </c>
      <c r="I31">
        <v>203</v>
      </c>
      <c r="J31">
        <v>15002</v>
      </c>
      <c r="K31">
        <f>Table1[[#This Row],[AsrTot]]-Table1[[#This Row],[BrdTot]]</f>
        <v>0</v>
      </c>
    </row>
    <row r="32" spans="1:11" x14ac:dyDescent="0.55000000000000004">
      <c r="A32" t="s">
        <v>621</v>
      </c>
      <c r="B32" t="s">
        <v>622</v>
      </c>
      <c r="C32" t="s">
        <v>12</v>
      </c>
      <c r="D32" t="s">
        <v>24</v>
      </c>
      <c r="E32" t="s">
        <v>14</v>
      </c>
      <c r="F32" t="s">
        <v>622</v>
      </c>
      <c r="G32">
        <v>35999</v>
      </c>
      <c r="H32">
        <v>35999</v>
      </c>
      <c r="I32">
        <v>203</v>
      </c>
      <c r="J32">
        <v>27001</v>
      </c>
      <c r="K32">
        <f>Table1[[#This Row],[AsrTot]]-Table1[[#This Row],[BrdTot]]</f>
        <v>0</v>
      </c>
    </row>
    <row r="33" spans="1:11" x14ac:dyDescent="0.55000000000000004">
      <c r="A33" t="s">
        <v>629</v>
      </c>
      <c r="B33" t="s">
        <v>630</v>
      </c>
      <c r="C33" t="s">
        <v>12</v>
      </c>
      <c r="D33" t="s">
        <v>24</v>
      </c>
      <c r="E33" t="s">
        <v>14</v>
      </c>
      <c r="F33" t="s">
        <v>630</v>
      </c>
      <c r="G33">
        <v>18999</v>
      </c>
      <c r="H33">
        <v>18999</v>
      </c>
      <c r="I33">
        <v>203</v>
      </c>
      <c r="J33">
        <v>15001</v>
      </c>
      <c r="K33">
        <f>Table1[[#This Row],[AsrTot]]-Table1[[#This Row],[BrdTot]]</f>
        <v>0</v>
      </c>
    </row>
    <row r="34" spans="1:11" x14ac:dyDescent="0.55000000000000004">
      <c r="A34" t="s">
        <v>133</v>
      </c>
      <c r="B34" t="s">
        <v>134</v>
      </c>
      <c r="C34" t="s">
        <v>12</v>
      </c>
      <c r="D34" t="s">
        <v>24</v>
      </c>
      <c r="E34" t="s">
        <v>14</v>
      </c>
      <c r="F34" t="s">
        <v>134</v>
      </c>
      <c r="G34">
        <v>25999</v>
      </c>
      <c r="H34">
        <v>25999</v>
      </c>
      <c r="I34">
        <v>204</v>
      </c>
      <c r="J34">
        <v>15001</v>
      </c>
      <c r="K34">
        <f>Table1[[#This Row],[AsrTot]]-Table1[[#This Row],[BrdTot]]</f>
        <v>0</v>
      </c>
    </row>
    <row r="35" spans="1:11" x14ac:dyDescent="0.55000000000000004">
      <c r="A35" t="s">
        <v>418</v>
      </c>
      <c r="B35" t="s">
        <v>419</v>
      </c>
      <c r="C35" t="s">
        <v>12</v>
      </c>
      <c r="D35" t="s">
        <v>24</v>
      </c>
      <c r="E35" t="s">
        <v>14</v>
      </c>
      <c r="F35" t="s">
        <v>419</v>
      </c>
      <c r="G35">
        <v>23999</v>
      </c>
      <c r="H35">
        <v>23999</v>
      </c>
      <c r="I35">
        <v>204</v>
      </c>
      <c r="J35">
        <v>15001</v>
      </c>
      <c r="K35">
        <f>Table1[[#This Row],[AsrTot]]-Table1[[#This Row],[BrdTot]]</f>
        <v>0</v>
      </c>
    </row>
    <row r="36" spans="1:11" x14ac:dyDescent="0.55000000000000004">
      <c r="A36" t="s">
        <v>551</v>
      </c>
      <c r="B36" t="s">
        <v>552</v>
      </c>
      <c r="C36" t="s">
        <v>12</v>
      </c>
      <c r="D36" t="s">
        <v>24</v>
      </c>
      <c r="E36" t="s">
        <v>14</v>
      </c>
      <c r="F36" t="s">
        <v>552</v>
      </c>
      <c r="G36">
        <v>28000</v>
      </c>
      <c r="H36">
        <v>28000</v>
      </c>
      <c r="I36">
        <v>204</v>
      </c>
      <c r="J36">
        <v>15001</v>
      </c>
      <c r="K36">
        <f>Table1[[#This Row],[AsrTot]]-Table1[[#This Row],[BrdTot]]</f>
        <v>0</v>
      </c>
    </row>
    <row r="37" spans="1:11" x14ac:dyDescent="0.55000000000000004">
      <c r="A37" t="s">
        <v>77</v>
      </c>
      <c r="B37" t="s">
        <v>78</v>
      </c>
      <c r="C37" t="s">
        <v>12</v>
      </c>
      <c r="D37" t="s">
        <v>24</v>
      </c>
      <c r="E37" t="s">
        <v>14</v>
      </c>
      <c r="F37" t="s">
        <v>78</v>
      </c>
      <c r="G37">
        <v>30999</v>
      </c>
      <c r="H37">
        <v>30999</v>
      </c>
      <c r="I37">
        <v>205</v>
      </c>
      <c r="J37">
        <v>11002</v>
      </c>
      <c r="K37">
        <f>Table1[[#This Row],[AsrTot]]-Table1[[#This Row],[BrdTot]]</f>
        <v>0</v>
      </c>
    </row>
    <row r="38" spans="1:11" x14ac:dyDescent="0.55000000000000004">
      <c r="A38" t="s">
        <v>105</v>
      </c>
      <c r="B38" t="s">
        <v>106</v>
      </c>
      <c r="C38" t="s">
        <v>12</v>
      </c>
      <c r="D38" t="s">
        <v>24</v>
      </c>
      <c r="E38" t="s">
        <v>14</v>
      </c>
      <c r="F38" t="s">
        <v>106</v>
      </c>
      <c r="G38">
        <v>16999</v>
      </c>
      <c r="H38">
        <v>16999</v>
      </c>
      <c r="I38">
        <v>205</v>
      </c>
      <c r="J38">
        <v>15001</v>
      </c>
      <c r="K38">
        <f>Table1[[#This Row],[AsrTot]]-Table1[[#This Row],[BrdTot]]</f>
        <v>0</v>
      </c>
    </row>
    <row r="39" spans="1:11" x14ac:dyDescent="0.55000000000000004">
      <c r="A39" t="s">
        <v>353</v>
      </c>
      <c r="B39" t="s">
        <v>354</v>
      </c>
      <c r="C39" t="s">
        <v>12</v>
      </c>
      <c r="D39" t="s">
        <v>24</v>
      </c>
      <c r="E39" t="s">
        <v>14</v>
      </c>
      <c r="F39" t="s">
        <v>354</v>
      </c>
      <c r="G39">
        <v>20999</v>
      </c>
      <c r="H39">
        <v>20999</v>
      </c>
      <c r="I39">
        <v>205</v>
      </c>
      <c r="J39">
        <v>15001</v>
      </c>
      <c r="K39">
        <f>Table1[[#This Row],[AsrTot]]-Table1[[#This Row],[BrdTot]]</f>
        <v>0</v>
      </c>
    </row>
    <row r="40" spans="1:11" x14ac:dyDescent="0.55000000000000004">
      <c r="A40" t="s">
        <v>420</v>
      </c>
      <c r="B40" t="s">
        <v>421</v>
      </c>
      <c r="C40" t="s">
        <v>12</v>
      </c>
      <c r="D40" t="s">
        <v>24</v>
      </c>
      <c r="E40" t="s">
        <v>14</v>
      </c>
      <c r="F40" t="s">
        <v>421</v>
      </c>
      <c r="G40">
        <v>21999</v>
      </c>
      <c r="H40">
        <v>21999</v>
      </c>
      <c r="I40">
        <v>205</v>
      </c>
      <c r="J40">
        <v>15001</v>
      </c>
      <c r="K40">
        <f>Table1[[#This Row],[AsrTot]]-Table1[[#This Row],[BrdTot]]</f>
        <v>0</v>
      </c>
    </row>
    <row r="41" spans="1:11" x14ac:dyDescent="0.55000000000000004">
      <c r="A41" t="s">
        <v>480</v>
      </c>
      <c r="B41" t="s">
        <v>481</v>
      </c>
      <c r="C41" t="s">
        <v>12</v>
      </c>
      <c r="D41" t="s">
        <v>24</v>
      </c>
      <c r="E41" t="s">
        <v>14</v>
      </c>
      <c r="F41" t="s">
        <v>481</v>
      </c>
      <c r="G41">
        <v>18999</v>
      </c>
      <c r="H41">
        <v>18999</v>
      </c>
      <c r="I41">
        <v>205</v>
      </c>
      <c r="J41">
        <v>15001</v>
      </c>
      <c r="K41">
        <f>Table1[[#This Row],[AsrTot]]-Table1[[#This Row],[BrdTot]]</f>
        <v>0</v>
      </c>
    </row>
    <row r="42" spans="1:11" x14ac:dyDescent="0.55000000000000004">
      <c r="A42" t="s">
        <v>41</v>
      </c>
      <c r="B42" t="s">
        <v>42</v>
      </c>
      <c r="C42" t="s">
        <v>12</v>
      </c>
      <c r="D42" t="s">
        <v>24</v>
      </c>
      <c r="E42" t="s">
        <v>14</v>
      </c>
      <c r="F42" t="s">
        <v>42</v>
      </c>
      <c r="G42">
        <v>95999</v>
      </c>
      <c r="H42">
        <v>95999</v>
      </c>
      <c r="I42">
        <v>206</v>
      </c>
      <c r="J42">
        <v>34006</v>
      </c>
      <c r="K42">
        <f>Table1[[#This Row],[AsrTot]]-Table1[[#This Row],[BrdTot]]</f>
        <v>0</v>
      </c>
    </row>
    <row r="43" spans="1:11" x14ac:dyDescent="0.55000000000000004">
      <c r="A43" t="s">
        <v>207</v>
      </c>
      <c r="B43" t="s">
        <v>208</v>
      </c>
      <c r="C43" t="s">
        <v>12</v>
      </c>
      <c r="D43" t="s">
        <v>24</v>
      </c>
      <c r="E43" t="s">
        <v>14</v>
      </c>
      <c r="F43" t="s">
        <v>208</v>
      </c>
      <c r="G43">
        <v>28580</v>
      </c>
      <c r="H43">
        <v>28580</v>
      </c>
      <c r="I43">
        <v>206</v>
      </c>
      <c r="J43">
        <v>15001</v>
      </c>
      <c r="K43">
        <f>Table1[[#This Row],[AsrTot]]-Table1[[#This Row],[BrdTot]]</f>
        <v>0</v>
      </c>
    </row>
    <row r="44" spans="1:11" x14ac:dyDescent="0.55000000000000004">
      <c r="A44" t="s">
        <v>631</v>
      </c>
      <c r="B44" t="s">
        <v>632</v>
      </c>
      <c r="C44" t="s">
        <v>12</v>
      </c>
      <c r="D44" t="s">
        <v>24</v>
      </c>
      <c r="E44" t="s">
        <v>14</v>
      </c>
      <c r="F44" t="s">
        <v>632</v>
      </c>
      <c r="G44">
        <v>30999</v>
      </c>
      <c r="H44">
        <v>30999</v>
      </c>
      <c r="I44">
        <v>206</v>
      </c>
      <c r="J44">
        <v>15001</v>
      </c>
      <c r="K44">
        <f>Table1[[#This Row],[AsrTot]]-Table1[[#This Row],[BrdTot]]</f>
        <v>0</v>
      </c>
    </row>
    <row r="45" spans="1:11" x14ac:dyDescent="0.55000000000000004">
      <c r="A45" t="s">
        <v>267</v>
      </c>
      <c r="B45" t="s">
        <v>268</v>
      </c>
      <c r="C45" t="s">
        <v>12</v>
      </c>
      <c r="D45" t="s">
        <v>24</v>
      </c>
      <c r="E45" t="s">
        <v>14</v>
      </c>
      <c r="F45" t="s">
        <v>268</v>
      </c>
      <c r="G45">
        <v>14999</v>
      </c>
      <c r="H45">
        <v>14999</v>
      </c>
      <c r="I45">
        <v>210</v>
      </c>
      <c r="J45">
        <v>15002</v>
      </c>
      <c r="K45">
        <f>Table1[[#This Row],[AsrTot]]-Table1[[#This Row],[BrdTot]]</f>
        <v>0</v>
      </c>
    </row>
    <row r="46" spans="1:11" x14ac:dyDescent="0.55000000000000004">
      <c r="A46" t="s">
        <v>450</v>
      </c>
      <c r="B46" t="s">
        <v>451</v>
      </c>
      <c r="C46" t="s">
        <v>12</v>
      </c>
      <c r="D46" t="s">
        <v>24</v>
      </c>
      <c r="E46" t="s">
        <v>14</v>
      </c>
      <c r="F46" t="s">
        <v>451</v>
      </c>
      <c r="G46">
        <v>17999</v>
      </c>
      <c r="H46">
        <v>17999</v>
      </c>
      <c r="I46">
        <v>210</v>
      </c>
      <c r="J46">
        <v>15001</v>
      </c>
      <c r="K46">
        <f>Table1[[#This Row],[AsrTot]]-Table1[[#This Row],[BrdTot]]</f>
        <v>0</v>
      </c>
    </row>
    <row r="47" spans="1:11" x14ac:dyDescent="0.55000000000000004">
      <c r="A47" t="s">
        <v>456</v>
      </c>
      <c r="B47" t="s">
        <v>457</v>
      </c>
      <c r="C47" t="s">
        <v>12</v>
      </c>
      <c r="D47" t="s">
        <v>24</v>
      </c>
      <c r="E47" t="s">
        <v>14</v>
      </c>
      <c r="F47" t="s">
        <v>457</v>
      </c>
      <c r="G47">
        <v>17999</v>
      </c>
      <c r="H47">
        <v>17999</v>
      </c>
      <c r="I47">
        <v>210</v>
      </c>
      <c r="J47">
        <v>15001</v>
      </c>
      <c r="K47">
        <f>Table1[[#This Row],[AsrTot]]-Table1[[#This Row],[BrdTot]]</f>
        <v>0</v>
      </c>
    </row>
    <row r="48" spans="1:11" x14ac:dyDescent="0.55000000000000004">
      <c r="A48" t="s">
        <v>474</v>
      </c>
      <c r="B48" t="s">
        <v>475</v>
      </c>
      <c r="C48" t="s">
        <v>12</v>
      </c>
      <c r="D48" t="s">
        <v>24</v>
      </c>
      <c r="E48" t="s">
        <v>14</v>
      </c>
      <c r="F48" t="s">
        <v>475</v>
      </c>
      <c r="G48">
        <v>17999</v>
      </c>
      <c r="H48">
        <v>17999</v>
      </c>
      <c r="I48">
        <v>210</v>
      </c>
      <c r="J48">
        <v>15001</v>
      </c>
      <c r="K48">
        <f>Table1[[#This Row],[AsrTot]]-Table1[[#This Row],[BrdTot]]</f>
        <v>0</v>
      </c>
    </row>
    <row r="49" spans="1:11" x14ac:dyDescent="0.55000000000000004">
      <c r="A49" t="s">
        <v>109</v>
      </c>
      <c r="B49" t="s">
        <v>110</v>
      </c>
      <c r="C49" t="s">
        <v>12</v>
      </c>
      <c r="D49" t="s">
        <v>24</v>
      </c>
      <c r="E49" t="s">
        <v>14</v>
      </c>
      <c r="F49" t="s">
        <v>110</v>
      </c>
      <c r="G49">
        <v>25999</v>
      </c>
      <c r="H49">
        <v>25999</v>
      </c>
      <c r="I49">
        <v>211</v>
      </c>
      <c r="J49">
        <v>15004</v>
      </c>
      <c r="K49">
        <f>Table1[[#This Row],[AsrTot]]-Table1[[#This Row],[BrdTot]]</f>
        <v>0</v>
      </c>
    </row>
    <row r="50" spans="1:11" x14ac:dyDescent="0.55000000000000004">
      <c r="A50" t="s">
        <v>113</v>
      </c>
      <c r="B50" t="s">
        <v>114</v>
      </c>
      <c r="C50" t="s">
        <v>12</v>
      </c>
      <c r="D50" t="s">
        <v>24</v>
      </c>
      <c r="E50" t="s">
        <v>14</v>
      </c>
      <c r="F50" t="s">
        <v>114</v>
      </c>
      <c r="G50">
        <v>25999</v>
      </c>
      <c r="H50">
        <v>25999</v>
      </c>
      <c r="I50">
        <v>211</v>
      </c>
      <c r="J50">
        <v>15001</v>
      </c>
      <c r="K50">
        <f>Table1[[#This Row],[AsrTot]]-Table1[[#This Row],[BrdTot]]</f>
        <v>0</v>
      </c>
    </row>
    <row r="51" spans="1:11" x14ac:dyDescent="0.55000000000000004">
      <c r="A51" t="s">
        <v>121</v>
      </c>
      <c r="B51" t="s">
        <v>122</v>
      </c>
      <c r="C51" t="s">
        <v>12</v>
      </c>
      <c r="D51" t="s">
        <v>24</v>
      </c>
      <c r="E51" t="s">
        <v>14</v>
      </c>
      <c r="F51" t="s">
        <v>122</v>
      </c>
      <c r="G51">
        <v>24000</v>
      </c>
      <c r="H51">
        <v>24000</v>
      </c>
      <c r="I51">
        <v>211</v>
      </c>
      <c r="J51">
        <v>15001</v>
      </c>
      <c r="K51">
        <f>Table1[[#This Row],[AsrTot]]-Table1[[#This Row],[BrdTot]]</f>
        <v>0</v>
      </c>
    </row>
    <row r="52" spans="1:11" x14ac:dyDescent="0.55000000000000004">
      <c r="A52" t="s">
        <v>157</v>
      </c>
      <c r="B52" t="s">
        <v>158</v>
      </c>
      <c r="C52" t="s">
        <v>12</v>
      </c>
      <c r="D52" t="s">
        <v>24</v>
      </c>
      <c r="E52" t="s">
        <v>14</v>
      </c>
      <c r="F52" t="s">
        <v>158</v>
      </c>
      <c r="G52">
        <v>22999</v>
      </c>
      <c r="H52">
        <v>22999</v>
      </c>
      <c r="I52">
        <v>211</v>
      </c>
      <c r="J52">
        <v>15001</v>
      </c>
      <c r="K52">
        <f>Table1[[#This Row],[AsrTot]]-Table1[[#This Row],[BrdTot]]</f>
        <v>0</v>
      </c>
    </row>
    <row r="53" spans="1:11" x14ac:dyDescent="0.55000000000000004">
      <c r="A53" t="s">
        <v>225</v>
      </c>
      <c r="B53" t="s">
        <v>226</v>
      </c>
      <c r="C53" t="s">
        <v>12</v>
      </c>
      <c r="D53" t="s">
        <v>24</v>
      </c>
      <c r="E53" t="s">
        <v>14</v>
      </c>
      <c r="F53" t="s">
        <v>226</v>
      </c>
      <c r="G53">
        <v>30000</v>
      </c>
      <c r="H53">
        <v>30000</v>
      </c>
      <c r="I53">
        <v>211</v>
      </c>
      <c r="J53">
        <v>15004</v>
      </c>
      <c r="K53">
        <f>Table1[[#This Row],[AsrTot]]-Table1[[#This Row],[BrdTot]]</f>
        <v>0</v>
      </c>
    </row>
    <row r="54" spans="1:11" x14ac:dyDescent="0.55000000000000004">
      <c r="A54" t="s">
        <v>355</v>
      </c>
      <c r="B54" t="s">
        <v>356</v>
      </c>
      <c r="C54" t="s">
        <v>12</v>
      </c>
      <c r="D54" t="s">
        <v>24</v>
      </c>
      <c r="E54" t="s">
        <v>14</v>
      </c>
      <c r="F54" t="s">
        <v>356</v>
      </c>
      <c r="G54">
        <v>23999</v>
      </c>
      <c r="H54">
        <v>23999</v>
      </c>
      <c r="I54">
        <v>211</v>
      </c>
      <c r="J54">
        <v>15001</v>
      </c>
      <c r="K54">
        <f>Table1[[#This Row],[AsrTot]]-Table1[[#This Row],[BrdTot]]</f>
        <v>0</v>
      </c>
    </row>
    <row r="55" spans="1:11" x14ac:dyDescent="0.55000000000000004">
      <c r="A55" t="s">
        <v>357</v>
      </c>
      <c r="B55" t="s">
        <v>358</v>
      </c>
      <c r="C55" t="s">
        <v>12</v>
      </c>
      <c r="D55" t="s">
        <v>24</v>
      </c>
      <c r="E55" t="s">
        <v>14</v>
      </c>
      <c r="F55" t="s">
        <v>358</v>
      </c>
      <c r="G55">
        <v>27999</v>
      </c>
      <c r="H55">
        <v>27999</v>
      </c>
      <c r="I55">
        <v>211</v>
      </c>
      <c r="J55">
        <v>15004</v>
      </c>
      <c r="K55">
        <f>Table1[[#This Row],[AsrTot]]-Table1[[#This Row],[BrdTot]]</f>
        <v>0</v>
      </c>
    </row>
    <row r="56" spans="1:11" x14ac:dyDescent="0.55000000000000004">
      <c r="A56" t="s">
        <v>390</v>
      </c>
      <c r="B56" t="s">
        <v>391</v>
      </c>
      <c r="C56" t="s">
        <v>12</v>
      </c>
      <c r="D56" t="s">
        <v>24</v>
      </c>
      <c r="E56" t="s">
        <v>14</v>
      </c>
      <c r="F56" t="s">
        <v>391</v>
      </c>
      <c r="G56">
        <v>22999</v>
      </c>
      <c r="H56">
        <v>22999</v>
      </c>
      <c r="I56">
        <v>211</v>
      </c>
      <c r="J56">
        <v>15004</v>
      </c>
      <c r="K56">
        <f>Table1[[#This Row],[AsrTot]]-Table1[[#This Row],[BrdTot]]</f>
        <v>0</v>
      </c>
    </row>
    <row r="57" spans="1:11" x14ac:dyDescent="0.55000000000000004">
      <c r="A57" t="s">
        <v>392</v>
      </c>
      <c r="B57" t="s">
        <v>393</v>
      </c>
      <c r="C57" t="s">
        <v>12</v>
      </c>
      <c r="D57" t="s">
        <v>24</v>
      </c>
      <c r="E57" t="s">
        <v>14</v>
      </c>
      <c r="F57" t="s">
        <v>393</v>
      </c>
      <c r="G57">
        <v>25999</v>
      </c>
      <c r="H57">
        <v>25999</v>
      </c>
      <c r="I57">
        <v>211</v>
      </c>
      <c r="J57">
        <v>15001</v>
      </c>
      <c r="K57">
        <f>Table1[[#This Row],[AsrTot]]-Table1[[#This Row],[BrdTot]]</f>
        <v>0</v>
      </c>
    </row>
    <row r="58" spans="1:11" x14ac:dyDescent="0.55000000000000004">
      <c r="A58" t="s">
        <v>410</v>
      </c>
      <c r="B58" t="s">
        <v>411</v>
      </c>
      <c r="C58" t="s">
        <v>12</v>
      </c>
      <c r="D58" t="s">
        <v>24</v>
      </c>
      <c r="E58" t="s">
        <v>14</v>
      </c>
      <c r="F58" t="s">
        <v>411</v>
      </c>
      <c r="G58">
        <v>32299</v>
      </c>
      <c r="H58">
        <v>32299</v>
      </c>
      <c r="I58">
        <v>211</v>
      </c>
      <c r="J58">
        <v>15004</v>
      </c>
      <c r="K58">
        <f>Table1[[#This Row],[AsrTot]]-Table1[[#This Row],[BrdTot]]</f>
        <v>0</v>
      </c>
    </row>
    <row r="59" spans="1:11" x14ac:dyDescent="0.55000000000000004">
      <c r="A59" t="s">
        <v>462</v>
      </c>
      <c r="B59" t="s">
        <v>463</v>
      </c>
      <c r="C59" t="s">
        <v>12</v>
      </c>
      <c r="D59" t="s">
        <v>24</v>
      </c>
      <c r="E59" t="s">
        <v>14</v>
      </c>
      <c r="F59" t="s">
        <v>463</v>
      </c>
      <c r="G59">
        <v>27000</v>
      </c>
      <c r="H59">
        <v>27000</v>
      </c>
      <c r="I59">
        <v>211</v>
      </c>
      <c r="J59">
        <v>15001</v>
      </c>
      <c r="K59">
        <f>Table1[[#This Row],[AsrTot]]-Table1[[#This Row],[BrdTot]]</f>
        <v>0</v>
      </c>
    </row>
    <row r="60" spans="1:11" x14ac:dyDescent="0.55000000000000004">
      <c r="A60" t="s">
        <v>530</v>
      </c>
      <c r="B60" t="s">
        <v>531</v>
      </c>
      <c r="C60" t="s">
        <v>12</v>
      </c>
      <c r="D60" t="s">
        <v>24</v>
      </c>
      <c r="E60" t="s">
        <v>14</v>
      </c>
      <c r="F60" t="s">
        <v>531</v>
      </c>
      <c r="G60">
        <v>24092</v>
      </c>
      <c r="H60">
        <v>24092</v>
      </c>
      <c r="I60">
        <v>211</v>
      </c>
      <c r="J60">
        <v>15001</v>
      </c>
      <c r="K60">
        <f>Table1[[#This Row],[AsrTot]]-Table1[[#This Row],[BrdTot]]</f>
        <v>0</v>
      </c>
    </row>
    <row r="61" spans="1:11" x14ac:dyDescent="0.55000000000000004">
      <c r="A61" t="s">
        <v>532</v>
      </c>
      <c r="B61" t="s">
        <v>533</v>
      </c>
      <c r="C61" t="s">
        <v>12</v>
      </c>
      <c r="D61" t="s">
        <v>24</v>
      </c>
      <c r="E61" t="s">
        <v>14</v>
      </c>
      <c r="F61" t="s">
        <v>533</v>
      </c>
      <c r="G61">
        <v>25999</v>
      </c>
      <c r="H61">
        <v>25999</v>
      </c>
      <c r="I61">
        <v>211</v>
      </c>
      <c r="J61">
        <v>15001</v>
      </c>
      <c r="K61">
        <f>Table1[[#This Row],[AsrTot]]-Table1[[#This Row],[BrdTot]]</f>
        <v>0</v>
      </c>
    </row>
    <row r="62" spans="1:11" x14ac:dyDescent="0.55000000000000004">
      <c r="A62" t="s">
        <v>538</v>
      </c>
      <c r="B62" t="s">
        <v>539</v>
      </c>
      <c r="C62" t="s">
        <v>12</v>
      </c>
      <c r="D62" t="s">
        <v>24</v>
      </c>
      <c r="E62" t="s">
        <v>14</v>
      </c>
      <c r="F62" t="s">
        <v>539</v>
      </c>
      <c r="G62">
        <v>26000</v>
      </c>
      <c r="H62">
        <v>26000</v>
      </c>
      <c r="I62">
        <v>211</v>
      </c>
      <c r="J62">
        <v>15001</v>
      </c>
      <c r="K62">
        <f>Table1[[#This Row],[AsrTot]]-Table1[[#This Row],[BrdTot]]</f>
        <v>0</v>
      </c>
    </row>
    <row r="63" spans="1:11" x14ac:dyDescent="0.55000000000000004">
      <c r="A63" t="s">
        <v>145</v>
      </c>
      <c r="B63" t="s">
        <v>146</v>
      </c>
      <c r="C63" t="s">
        <v>12</v>
      </c>
      <c r="D63" t="s">
        <v>24</v>
      </c>
      <c r="E63" t="s">
        <v>14</v>
      </c>
      <c r="F63" t="s">
        <v>146</v>
      </c>
      <c r="G63">
        <v>30999</v>
      </c>
      <c r="H63">
        <v>30999</v>
      </c>
      <c r="I63">
        <v>234</v>
      </c>
      <c r="J63">
        <v>11002</v>
      </c>
      <c r="K63">
        <f>Table1[[#This Row],[AsrTot]]-Table1[[#This Row],[BrdTot]]</f>
        <v>0</v>
      </c>
    </row>
    <row r="64" spans="1:11" x14ac:dyDescent="0.55000000000000004">
      <c r="A64" t="s">
        <v>412</v>
      </c>
      <c r="B64" t="s">
        <v>413</v>
      </c>
      <c r="C64" t="s">
        <v>12</v>
      </c>
      <c r="D64" t="s">
        <v>24</v>
      </c>
      <c r="E64" t="s">
        <v>14</v>
      </c>
      <c r="F64" t="s">
        <v>413</v>
      </c>
      <c r="G64">
        <v>23999</v>
      </c>
      <c r="H64">
        <v>23999</v>
      </c>
      <c r="I64">
        <v>295</v>
      </c>
      <c r="J64">
        <v>15001</v>
      </c>
      <c r="K64">
        <f>Table1[[#This Row],[AsrTot]]-Table1[[#This Row],[BrdTot]]</f>
        <v>0</v>
      </c>
    </row>
    <row r="65" spans="1:11" x14ac:dyDescent="0.55000000000000004">
      <c r="A65" t="s">
        <v>375</v>
      </c>
      <c r="B65" t="s">
        <v>376</v>
      </c>
      <c r="C65" t="s">
        <v>12</v>
      </c>
      <c r="D65" t="s">
        <v>24</v>
      </c>
      <c r="E65" t="s">
        <v>377</v>
      </c>
      <c r="F65" t="s">
        <v>376</v>
      </c>
      <c r="G65">
        <v>9940</v>
      </c>
      <c r="H65">
        <v>9940</v>
      </c>
      <c r="I65">
        <v>299</v>
      </c>
      <c r="J65">
        <v>15004</v>
      </c>
      <c r="K65">
        <f>Table1[[#This Row],[AsrTot]]-Table1[[#This Row],[BrdTot]]</f>
        <v>0</v>
      </c>
    </row>
    <row r="66" spans="1:11" x14ac:dyDescent="0.55000000000000004">
      <c r="A66" t="s">
        <v>58</v>
      </c>
      <c r="B66" t="s">
        <v>59</v>
      </c>
      <c r="C66" t="s">
        <v>12</v>
      </c>
      <c r="D66" t="s">
        <v>24</v>
      </c>
      <c r="E66" t="s">
        <v>45</v>
      </c>
      <c r="F66" t="s">
        <v>62</v>
      </c>
      <c r="G66">
        <v>13641</v>
      </c>
      <c r="H66">
        <v>13641</v>
      </c>
      <c r="I66">
        <v>522</v>
      </c>
      <c r="J66">
        <v>15001</v>
      </c>
      <c r="K66">
        <f>Table1[[#This Row],[AsrTot]]-Table1[[#This Row],[BrdTot]]</f>
        <v>0</v>
      </c>
    </row>
    <row r="67" spans="1:11" x14ac:dyDescent="0.55000000000000004">
      <c r="A67" t="s">
        <v>58</v>
      </c>
      <c r="B67" t="s">
        <v>59</v>
      </c>
      <c r="C67" t="s">
        <v>12</v>
      </c>
      <c r="D67" t="s">
        <v>24</v>
      </c>
      <c r="E67" t="s">
        <v>45</v>
      </c>
      <c r="F67" t="s">
        <v>63</v>
      </c>
      <c r="G67">
        <v>13744</v>
      </c>
      <c r="H67">
        <v>13744</v>
      </c>
      <c r="I67">
        <v>522</v>
      </c>
      <c r="J67">
        <v>15001</v>
      </c>
      <c r="K67">
        <f>Table1[[#This Row],[AsrTot]]-Table1[[#This Row],[BrdTot]]</f>
        <v>0</v>
      </c>
    </row>
    <row r="68" spans="1:11" x14ac:dyDescent="0.55000000000000004">
      <c r="A68" t="s">
        <v>58</v>
      </c>
      <c r="B68" t="s">
        <v>59</v>
      </c>
      <c r="C68" t="s">
        <v>12</v>
      </c>
      <c r="D68" t="s">
        <v>24</v>
      </c>
      <c r="E68" t="s">
        <v>45</v>
      </c>
      <c r="F68" t="s">
        <v>65</v>
      </c>
      <c r="G68">
        <v>13744</v>
      </c>
      <c r="H68">
        <v>13744</v>
      </c>
      <c r="I68">
        <v>522</v>
      </c>
      <c r="J68">
        <v>15001</v>
      </c>
      <c r="K68">
        <f>Table1[[#This Row],[AsrTot]]-Table1[[#This Row],[BrdTot]]</f>
        <v>0</v>
      </c>
    </row>
    <row r="69" spans="1:11" x14ac:dyDescent="0.55000000000000004">
      <c r="A69" t="s">
        <v>58</v>
      </c>
      <c r="B69" t="s">
        <v>59</v>
      </c>
      <c r="C69" t="s">
        <v>12</v>
      </c>
      <c r="D69" t="s">
        <v>24</v>
      </c>
      <c r="E69" t="s">
        <v>45</v>
      </c>
      <c r="F69" t="s">
        <v>60</v>
      </c>
      <c r="G69">
        <v>14961</v>
      </c>
      <c r="H69">
        <v>14961</v>
      </c>
      <c r="I69">
        <v>590</v>
      </c>
      <c r="J69">
        <v>15001</v>
      </c>
      <c r="K69">
        <f>Table1[[#This Row],[AsrTot]]-Table1[[#This Row],[BrdTot]]</f>
        <v>0</v>
      </c>
    </row>
    <row r="70" spans="1:11" x14ac:dyDescent="0.55000000000000004">
      <c r="A70" t="s">
        <v>58</v>
      </c>
      <c r="B70" t="s">
        <v>59</v>
      </c>
      <c r="C70" t="s">
        <v>12</v>
      </c>
      <c r="D70" t="s">
        <v>24</v>
      </c>
      <c r="E70" t="s">
        <v>45</v>
      </c>
      <c r="F70" t="s">
        <v>59</v>
      </c>
      <c r="G70">
        <v>21301</v>
      </c>
      <c r="H70">
        <v>21301</v>
      </c>
      <c r="I70">
        <v>590</v>
      </c>
      <c r="J70">
        <v>15001</v>
      </c>
      <c r="K70">
        <f>Table1[[#This Row],[AsrTot]]-Table1[[#This Row],[BrdTot]]</f>
        <v>0</v>
      </c>
    </row>
    <row r="71" spans="1:11" x14ac:dyDescent="0.55000000000000004">
      <c r="A71" t="s">
        <v>58</v>
      </c>
      <c r="B71" t="s">
        <v>59</v>
      </c>
      <c r="C71" t="s">
        <v>12</v>
      </c>
      <c r="D71" t="s">
        <v>24</v>
      </c>
      <c r="E71" t="s">
        <v>45</v>
      </c>
      <c r="F71" t="s">
        <v>61</v>
      </c>
      <c r="G71">
        <v>15301</v>
      </c>
      <c r="H71">
        <v>15301</v>
      </c>
      <c r="I71">
        <v>590</v>
      </c>
      <c r="J71">
        <v>15001</v>
      </c>
      <c r="K71">
        <f>Table1[[#This Row],[AsrTot]]-Table1[[#This Row],[BrdTot]]</f>
        <v>0</v>
      </c>
    </row>
    <row r="72" spans="1:11" x14ac:dyDescent="0.55000000000000004">
      <c r="A72" t="s">
        <v>58</v>
      </c>
      <c r="B72" t="s">
        <v>59</v>
      </c>
      <c r="C72" t="s">
        <v>12</v>
      </c>
      <c r="D72" t="s">
        <v>24</v>
      </c>
      <c r="E72" t="s">
        <v>45</v>
      </c>
      <c r="F72" t="s">
        <v>64</v>
      </c>
      <c r="G72">
        <v>15301</v>
      </c>
      <c r="H72">
        <v>15301</v>
      </c>
      <c r="I72">
        <v>590</v>
      </c>
      <c r="J72">
        <v>15001</v>
      </c>
      <c r="K72">
        <f>Table1[[#This Row],[AsrTot]]-Table1[[#This Row],[BrdTot]]</f>
        <v>0</v>
      </c>
    </row>
    <row r="73" spans="1:11" x14ac:dyDescent="0.55000000000000004">
      <c r="A73" t="s">
        <v>58</v>
      </c>
      <c r="B73" t="s">
        <v>59</v>
      </c>
      <c r="C73" t="s">
        <v>12</v>
      </c>
      <c r="D73" t="s">
        <v>24</v>
      </c>
      <c r="E73" t="s">
        <v>45</v>
      </c>
      <c r="F73" t="s">
        <v>66</v>
      </c>
      <c r="G73">
        <v>15369</v>
      </c>
      <c r="H73">
        <v>15369</v>
      </c>
      <c r="I73">
        <v>590</v>
      </c>
      <c r="J73">
        <v>15001</v>
      </c>
      <c r="K73">
        <f>Table1[[#This Row],[AsrTot]]-Table1[[#This Row],[BrdTot]]</f>
        <v>0</v>
      </c>
    </row>
    <row r="74" spans="1:11" x14ac:dyDescent="0.55000000000000004">
      <c r="A74" t="s">
        <v>15</v>
      </c>
      <c r="B74" t="s">
        <v>16</v>
      </c>
      <c r="C74" t="s">
        <v>12</v>
      </c>
      <c r="D74" t="s">
        <v>13</v>
      </c>
      <c r="E74" t="s">
        <v>14</v>
      </c>
      <c r="F74" t="s">
        <v>17</v>
      </c>
      <c r="G74">
        <v>2840</v>
      </c>
      <c r="H74">
        <v>2828</v>
      </c>
      <c r="I74">
        <v>201</v>
      </c>
      <c r="J74">
        <v>15001</v>
      </c>
      <c r="K74">
        <f>Table1[[#This Row],[AsrTot]]-Table1[[#This Row],[BrdTot]]</f>
        <v>12</v>
      </c>
    </row>
    <row r="75" spans="1:11" x14ac:dyDescent="0.55000000000000004">
      <c r="A75" t="s">
        <v>15</v>
      </c>
      <c r="B75" t="s">
        <v>17</v>
      </c>
      <c r="C75" t="s">
        <v>12</v>
      </c>
      <c r="D75" t="s">
        <v>13</v>
      </c>
      <c r="E75" t="s">
        <v>14</v>
      </c>
      <c r="F75" t="s">
        <v>17</v>
      </c>
      <c r="G75">
        <v>2840</v>
      </c>
      <c r="H75">
        <v>2828</v>
      </c>
      <c r="I75">
        <v>201</v>
      </c>
      <c r="J75">
        <v>15001</v>
      </c>
      <c r="K75">
        <f>Table1[[#This Row],[AsrTot]]-Table1[[#This Row],[BrdTot]]</f>
        <v>12</v>
      </c>
    </row>
    <row r="76" spans="1:11" x14ac:dyDescent="0.55000000000000004">
      <c r="A76" t="s">
        <v>227</v>
      </c>
      <c r="B76" t="s">
        <v>228</v>
      </c>
      <c r="C76" t="s">
        <v>12</v>
      </c>
      <c r="D76" t="s">
        <v>13</v>
      </c>
      <c r="E76" t="s">
        <v>14</v>
      </c>
      <c r="F76" t="s">
        <v>228</v>
      </c>
      <c r="G76">
        <v>17999</v>
      </c>
      <c r="H76">
        <v>17460</v>
      </c>
      <c r="I76">
        <v>203</v>
      </c>
      <c r="J76">
        <v>15001</v>
      </c>
      <c r="K76">
        <f>Table1[[#This Row],[AsrTot]]-Table1[[#This Row],[BrdTot]]</f>
        <v>539</v>
      </c>
    </row>
    <row r="77" spans="1:11" x14ac:dyDescent="0.55000000000000004">
      <c r="A77" t="s">
        <v>283</v>
      </c>
      <c r="B77" t="s">
        <v>284</v>
      </c>
      <c r="C77" t="s">
        <v>12</v>
      </c>
      <c r="D77" t="s">
        <v>13</v>
      </c>
      <c r="E77" t="s">
        <v>14</v>
      </c>
      <c r="F77" t="s">
        <v>284</v>
      </c>
      <c r="G77">
        <v>17999</v>
      </c>
      <c r="H77">
        <v>17439</v>
      </c>
      <c r="I77">
        <v>205</v>
      </c>
      <c r="J77">
        <v>15001</v>
      </c>
      <c r="K77">
        <f>Table1[[#This Row],[AsrTot]]-Table1[[#This Row],[BrdTot]]</f>
        <v>560</v>
      </c>
    </row>
    <row r="78" spans="1:11" x14ac:dyDescent="0.55000000000000004">
      <c r="A78" t="s">
        <v>373</v>
      </c>
      <c r="B78" t="s">
        <v>374</v>
      </c>
      <c r="C78" t="s">
        <v>12</v>
      </c>
      <c r="D78" t="s">
        <v>13</v>
      </c>
      <c r="E78" t="s">
        <v>14</v>
      </c>
      <c r="F78" t="s">
        <v>374</v>
      </c>
      <c r="G78">
        <v>21999</v>
      </c>
      <c r="H78">
        <v>21435</v>
      </c>
      <c r="I78">
        <v>202</v>
      </c>
      <c r="J78">
        <v>11002</v>
      </c>
      <c r="K78">
        <f>Table1[[#This Row],[AsrTot]]-Table1[[#This Row],[BrdTot]]</f>
        <v>564</v>
      </c>
    </row>
    <row r="79" spans="1:11" x14ac:dyDescent="0.55000000000000004">
      <c r="A79" t="s">
        <v>69</v>
      </c>
      <c r="B79" t="s">
        <v>70</v>
      </c>
      <c r="C79" t="s">
        <v>12</v>
      </c>
      <c r="D79" t="s">
        <v>13</v>
      </c>
      <c r="E79" t="s">
        <v>14</v>
      </c>
      <c r="F79" t="s">
        <v>70</v>
      </c>
      <c r="G79">
        <v>16999</v>
      </c>
      <c r="H79">
        <v>16363</v>
      </c>
      <c r="I79">
        <v>203</v>
      </c>
      <c r="J79">
        <v>15004</v>
      </c>
      <c r="K79">
        <f>Table1[[#This Row],[AsrTot]]-Table1[[#This Row],[BrdTot]]</f>
        <v>636</v>
      </c>
    </row>
    <row r="80" spans="1:11" x14ac:dyDescent="0.55000000000000004">
      <c r="A80" t="s">
        <v>213</v>
      </c>
      <c r="B80" t="s">
        <v>214</v>
      </c>
      <c r="C80" t="s">
        <v>12</v>
      </c>
      <c r="D80" t="s">
        <v>13</v>
      </c>
      <c r="E80" t="s">
        <v>14</v>
      </c>
      <c r="F80" t="s">
        <v>214</v>
      </c>
      <c r="G80">
        <v>21999</v>
      </c>
      <c r="H80">
        <v>21287</v>
      </c>
      <c r="I80">
        <v>204</v>
      </c>
      <c r="J80">
        <v>15001</v>
      </c>
      <c r="K80">
        <f>Table1[[#This Row],[AsrTot]]-Table1[[#This Row],[BrdTot]]</f>
        <v>712</v>
      </c>
    </row>
    <row r="81" spans="1:11" x14ac:dyDescent="0.55000000000000004">
      <c r="A81" t="s">
        <v>153</v>
      </c>
      <c r="B81" t="s">
        <v>154</v>
      </c>
      <c r="C81" t="s">
        <v>12</v>
      </c>
      <c r="D81" t="s">
        <v>13</v>
      </c>
      <c r="E81" t="s">
        <v>14</v>
      </c>
      <c r="F81" t="s">
        <v>154</v>
      </c>
      <c r="G81">
        <v>18999</v>
      </c>
      <c r="H81">
        <v>18277</v>
      </c>
      <c r="I81">
        <v>203</v>
      </c>
      <c r="J81">
        <v>15001</v>
      </c>
      <c r="K81">
        <f>Table1[[#This Row],[AsrTot]]-Table1[[#This Row],[BrdTot]]</f>
        <v>722</v>
      </c>
    </row>
    <row r="82" spans="1:11" x14ac:dyDescent="0.55000000000000004">
      <c r="A82" t="s">
        <v>565</v>
      </c>
      <c r="B82" t="s">
        <v>566</v>
      </c>
      <c r="C82" t="s">
        <v>12</v>
      </c>
      <c r="D82" t="s">
        <v>13</v>
      </c>
      <c r="E82" t="s">
        <v>14</v>
      </c>
      <c r="F82" t="s">
        <v>566</v>
      </c>
      <c r="G82">
        <v>24000</v>
      </c>
      <c r="H82">
        <v>23262</v>
      </c>
      <c r="I82">
        <v>203</v>
      </c>
      <c r="J82">
        <v>15001</v>
      </c>
      <c r="K82">
        <f>Table1[[#This Row],[AsrTot]]-Table1[[#This Row],[BrdTot]]</f>
        <v>738</v>
      </c>
    </row>
    <row r="83" spans="1:11" x14ac:dyDescent="0.55000000000000004">
      <c r="A83" t="s">
        <v>203</v>
      </c>
      <c r="B83" t="s">
        <v>204</v>
      </c>
      <c r="C83" t="s">
        <v>12</v>
      </c>
      <c r="D83" t="s">
        <v>13</v>
      </c>
      <c r="E83" t="s">
        <v>14</v>
      </c>
      <c r="F83" t="s">
        <v>204</v>
      </c>
      <c r="G83">
        <v>16861</v>
      </c>
      <c r="H83">
        <v>16109</v>
      </c>
      <c r="I83">
        <v>202</v>
      </c>
      <c r="J83">
        <v>15001</v>
      </c>
      <c r="K83">
        <f>Table1[[#This Row],[AsrTot]]-Table1[[#This Row],[BrdTot]]</f>
        <v>752</v>
      </c>
    </row>
    <row r="84" spans="1:11" x14ac:dyDescent="0.55000000000000004">
      <c r="A84" t="s">
        <v>540</v>
      </c>
      <c r="B84" t="s">
        <v>541</v>
      </c>
      <c r="C84" t="s">
        <v>12</v>
      </c>
      <c r="D84" t="s">
        <v>13</v>
      </c>
      <c r="E84" t="s">
        <v>14</v>
      </c>
      <c r="F84" t="s">
        <v>542</v>
      </c>
      <c r="G84">
        <v>11661</v>
      </c>
      <c r="H84">
        <v>10831</v>
      </c>
      <c r="I84">
        <v>203</v>
      </c>
      <c r="J84">
        <v>15001</v>
      </c>
      <c r="K84">
        <f>Table1[[#This Row],[AsrTot]]-Table1[[#This Row],[BrdTot]]</f>
        <v>830</v>
      </c>
    </row>
    <row r="85" spans="1:11" x14ac:dyDescent="0.55000000000000004">
      <c r="A85" t="s">
        <v>540</v>
      </c>
      <c r="B85" t="s">
        <v>542</v>
      </c>
      <c r="C85" t="s">
        <v>12</v>
      </c>
      <c r="D85" t="s">
        <v>13</v>
      </c>
      <c r="E85" t="s">
        <v>14</v>
      </c>
      <c r="F85" t="s">
        <v>542</v>
      </c>
      <c r="G85">
        <v>11661</v>
      </c>
      <c r="H85">
        <v>10831</v>
      </c>
      <c r="I85">
        <v>203</v>
      </c>
      <c r="J85">
        <v>15001</v>
      </c>
      <c r="K85">
        <f>Table1[[#This Row],[AsrTot]]-Table1[[#This Row],[BrdTot]]</f>
        <v>830</v>
      </c>
    </row>
    <row r="86" spans="1:11" x14ac:dyDescent="0.55000000000000004">
      <c r="A86" t="s">
        <v>540</v>
      </c>
      <c r="B86" t="s">
        <v>541</v>
      </c>
      <c r="C86" t="s">
        <v>12</v>
      </c>
      <c r="D86" t="s">
        <v>13</v>
      </c>
      <c r="E86" t="s">
        <v>14</v>
      </c>
      <c r="F86" t="s">
        <v>541</v>
      </c>
      <c r="G86">
        <v>12338</v>
      </c>
      <c r="H86">
        <v>11507</v>
      </c>
      <c r="I86">
        <v>203</v>
      </c>
      <c r="J86">
        <v>15001</v>
      </c>
      <c r="K86">
        <f>Table1[[#This Row],[AsrTot]]-Table1[[#This Row],[BrdTot]]</f>
        <v>831</v>
      </c>
    </row>
    <row r="87" spans="1:11" x14ac:dyDescent="0.55000000000000004">
      <c r="A87" t="s">
        <v>540</v>
      </c>
      <c r="B87" t="s">
        <v>542</v>
      </c>
      <c r="C87" t="s">
        <v>12</v>
      </c>
      <c r="D87" t="s">
        <v>13</v>
      </c>
      <c r="E87" t="s">
        <v>14</v>
      </c>
      <c r="F87" t="s">
        <v>541</v>
      </c>
      <c r="G87">
        <v>12338</v>
      </c>
      <c r="H87">
        <v>11507</v>
      </c>
      <c r="I87">
        <v>203</v>
      </c>
      <c r="J87">
        <v>15001</v>
      </c>
      <c r="K87">
        <f>Table1[[#This Row],[AsrTot]]-Table1[[#This Row],[BrdTot]]</f>
        <v>831</v>
      </c>
    </row>
    <row r="88" spans="1:11" x14ac:dyDescent="0.55000000000000004">
      <c r="A88" t="s">
        <v>452</v>
      </c>
      <c r="B88" t="s">
        <v>453</v>
      </c>
      <c r="C88" t="s">
        <v>12</v>
      </c>
      <c r="D88" t="s">
        <v>13</v>
      </c>
      <c r="E88" t="s">
        <v>14</v>
      </c>
      <c r="F88" t="s">
        <v>453</v>
      </c>
      <c r="G88">
        <v>18999</v>
      </c>
      <c r="H88">
        <v>18161</v>
      </c>
      <c r="I88">
        <v>203</v>
      </c>
      <c r="J88">
        <v>15001</v>
      </c>
      <c r="K88">
        <f>Table1[[#This Row],[AsrTot]]-Table1[[#This Row],[BrdTot]]</f>
        <v>838</v>
      </c>
    </row>
    <row r="89" spans="1:11" x14ac:dyDescent="0.55000000000000004">
      <c r="A89" t="s">
        <v>339</v>
      </c>
      <c r="B89" t="s">
        <v>340</v>
      </c>
      <c r="C89" t="s">
        <v>12</v>
      </c>
      <c r="D89" t="s">
        <v>13</v>
      </c>
      <c r="E89" t="s">
        <v>14</v>
      </c>
      <c r="F89" t="s">
        <v>340</v>
      </c>
      <c r="G89">
        <v>22999</v>
      </c>
      <c r="H89">
        <v>22147</v>
      </c>
      <c r="I89">
        <v>203</v>
      </c>
      <c r="J89">
        <v>11002</v>
      </c>
      <c r="K89">
        <f>Table1[[#This Row],[AsrTot]]-Table1[[#This Row],[BrdTot]]</f>
        <v>852</v>
      </c>
    </row>
    <row r="90" spans="1:11" x14ac:dyDescent="0.55000000000000004">
      <c r="A90" t="s">
        <v>281</v>
      </c>
      <c r="B90" t="s">
        <v>282</v>
      </c>
      <c r="C90" t="s">
        <v>12</v>
      </c>
      <c r="D90" t="s">
        <v>13</v>
      </c>
      <c r="E90" t="s">
        <v>14</v>
      </c>
      <c r="F90" t="s">
        <v>282</v>
      </c>
      <c r="G90">
        <v>21000</v>
      </c>
      <c r="H90">
        <v>20147</v>
      </c>
      <c r="I90">
        <v>203</v>
      </c>
      <c r="J90">
        <v>15001</v>
      </c>
      <c r="K90">
        <f>Table1[[#This Row],[AsrTot]]-Table1[[#This Row],[BrdTot]]</f>
        <v>853</v>
      </c>
    </row>
    <row r="91" spans="1:11" x14ac:dyDescent="0.55000000000000004">
      <c r="A91" t="s">
        <v>179</v>
      </c>
      <c r="B91" t="s">
        <v>180</v>
      </c>
      <c r="C91" t="s">
        <v>12</v>
      </c>
      <c r="D91" t="s">
        <v>13</v>
      </c>
      <c r="E91" t="s">
        <v>14</v>
      </c>
      <c r="F91" t="s">
        <v>180</v>
      </c>
      <c r="G91">
        <v>16999</v>
      </c>
      <c r="H91">
        <v>16128</v>
      </c>
      <c r="I91">
        <v>202</v>
      </c>
      <c r="J91">
        <v>15001</v>
      </c>
      <c r="K91">
        <f>Table1[[#This Row],[AsrTot]]-Table1[[#This Row],[BrdTot]]</f>
        <v>871</v>
      </c>
    </row>
    <row r="92" spans="1:11" x14ac:dyDescent="0.55000000000000004">
      <c r="A92" t="s">
        <v>71</v>
      </c>
      <c r="B92" t="s">
        <v>72</v>
      </c>
      <c r="C92" t="s">
        <v>12</v>
      </c>
      <c r="D92" t="s">
        <v>13</v>
      </c>
      <c r="E92" t="s">
        <v>45</v>
      </c>
      <c r="F92" t="s">
        <v>72</v>
      </c>
      <c r="G92">
        <v>29000</v>
      </c>
      <c r="H92">
        <v>28085</v>
      </c>
      <c r="I92">
        <v>211</v>
      </c>
      <c r="J92">
        <v>11001</v>
      </c>
      <c r="K92">
        <f>Table1[[#This Row],[AsrTot]]-Table1[[#This Row],[BrdTot]]</f>
        <v>915</v>
      </c>
    </row>
    <row r="93" spans="1:11" x14ac:dyDescent="0.55000000000000004">
      <c r="A93" t="s">
        <v>607</v>
      </c>
      <c r="B93" t="s">
        <v>608</v>
      </c>
      <c r="C93" t="s">
        <v>12</v>
      </c>
      <c r="D93" t="s">
        <v>13</v>
      </c>
      <c r="E93" t="s">
        <v>14</v>
      </c>
      <c r="F93" t="s">
        <v>608</v>
      </c>
      <c r="G93">
        <v>18000</v>
      </c>
      <c r="H93">
        <v>17073</v>
      </c>
      <c r="I93">
        <v>234</v>
      </c>
      <c r="J93">
        <v>15002</v>
      </c>
      <c r="K93">
        <f>Table1[[#This Row],[AsrTot]]-Table1[[#This Row],[BrdTot]]</f>
        <v>927</v>
      </c>
    </row>
    <row r="94" spans="1:11" x14ac:dyDescent="0.55000000000000004">
      <c r="A94" t="s">
        <v>279</v>
      </c>
      <c r="B94" t="s">
        <v>280</v>
      </c>
      <c r="C94" t="s">
        <v>12</v>
      </c>
      <c r="D94" t="s">
        <v>13</v>
      </c>
      <c r="E94" t="s">
        <v>14</v>
      </c>
      <c r="F94" t="s">
        <v>280</v>
      </c>
      <c r="G94">
        <v>20999</v>
      </c>
      <c r="H94">
        <v>20028</v>
      </c>
      <c r="I94">
        <v>203</v>
      </c>
      <c r="J94">
        <v>15001</v>
      </c>
      <c r="K94">
        <f>Table1[[#This Row],[AsrTot]]-Table1[[#This Row],[BrdTot]]</f>
        <v>971</v>
      </c>
    </row>
    <row r="95" spans="1:11" x14ac:dyDescent="0.55000000000000004">
      <c r="A95" t="s">
        <v>394</v>
      </c>
      <c r="B95" t="s">
        <v>395</v>
      </c>
      <c r="C95" t="s">
        <v>12</v>
      </c>
      <c r="D95" t="s">
        <v>13</v>
      </c>
      <c r="E95" t="s">
        <v>14</v>
      </c>
      <c r="F95" t="s">
        <v>395</v>
      </c>
      <c r="G95">
        <v>16999</v>
      </c>
      <c r="H95">
        <v>16008</v>
      </c>
      <c r="I95">
        <v>202</v>
      </c>
      <c r="J95">
        <v>15001</v>
      </c>
      <c r="K95">
        <f>Table1[[#This Row],[AsrTot]]-Table1[[#This Row],[BrdTot]]</f>
        <v>991</v>
      </c>
    </row>
    <row r="96" spans="1:11" x14ac:dyDescent="0.55000000000000004">
      <c r="A96" t="s">
        <v>553</v>
      </c>
      <c r="B96" t="s">
        <v>554</v>
      </c>
      <c r="C96" t="s">
        <v>12</v>
      </c>
      <c r="D96" t="s">
        <v>13</v>
      </c>
      <c r="E96" t="s">
        <v>14</v>
      </c>
      <c r="F96" t="s">
        <v>554</v>
      </c>
      <c r="G96">
        <v>17999</v>
      </c>
      <c r="H96">
        <v>17000</v>
      </c>
      <c r="I96">
        <v>210</v>
      </c>
      <c r="J96">
        <v>15001</v>
      </c>
      <c r="K96">
        <f>Table1[[#This Row],[AsrTot]]-Table1[[#This Row],[BrdTot]]</f>
        <v>999</v>
      </c>
    </row>
    <row r="97" spans="1:11" x14ac:dyDescent="0.55000000000000004">
      <c r="A97" t="s">
        <v>127</v>
      </c>
      <c r="B97" t="s">
        <v>128</v>
      </c>
      <c r="C97" t="s">
        <v>12</v>
      </c>
      <c r="D97" t="s">
        <v>13</v>
      </c>
      <c r="E97" t="s">
        <v>14</v>
      </c>
      <c r="F97" t="s">
        <v>128</v>
      </c>
      <c r="G97">
        <v>14999</v>
      </c>
      <c r="H97">
        <v>13999</v>
      </c>
      <c r="I97">
        <v>202</v>
      </c>
      <c r="J97">
        <v>15001</v>
      </c>
      <c r="K97">
        <f>Table1[[#This Row],[AsrTot]]-Table1[[#This Row],[BrdTot]]</f>
        <v>1000</v>
      </c>
    </row>
    <row r="98" spans="1:11" x14ac:dyDescent="0.55000000000000004">
      <c r="A98" t="s">
        <v>337</v>
      </c>
      <c r="B98" t="s">
        <v>338</v>
      </c>
      <c r="C98" t="s">
        <v>12</v>
      </c>
      <c r="D98" t="s">
        <v>13</v>
      </c>
      <c r="E98" t="s">
        <v>14</v>
      </c>
      <c r="F98" t="s">
        <v>338</v>
      </c>
      <c r="G98">
        <v>21999</v>
      </c>
      <c r="H98">
        <v>20998</v>
      </c>
      <c r="I98">
        <v>203</v>
      </c>
      <c r="J98">
        <v>15002</v>
      </c>
      <c r="K98">
        <f>Table1[[#This Row],[AsrTot]]-Table1[[#This Row],[BrdTot]]</f>
        <v>1001</v>
      </c>
    </row>
    <row r="99" spans="1:11" x14ac:dyDescent="0.55000000000000004">
      <c r="A99" t="s">
        <v>490</v>
      </c>
      <c r="B99" t="s">
        <v>491</v>
      </c>
      <c r="C99" t="s">
        <v>12</v>
      </c>
      <c r="D99" t="s">
        <v>13</v>
      </c>
      <c r="E99" t="s">
        <v>14</v>
      </c>
      <c r="F99" t="s">
        <v>491</v>
      </c>
      <c r="G99">
        <v>18999</v>
      </c>
      <c r="H99">
        <v>17996</v>
      </c>
      <c r="I99">
        <v>205</v>
      </c>
      <c r="J99">
        <v>15001</v>
      </c>
      <c r="K99">
        <f>Table1[[#This Row],[AsrTot]]-Table1[[#This Row],[BrdTot]]</f>
        <v>1003</v>
      </c>
    </row>
    <row r="100" spans="1:11" x14ac:dyDescent="0.55000000000000004">
      <c r="A100" t="s">
        <v>406</v>
      </c>
      <c r="B100" t="s">
        <v>407</v>
      </c>
      <c r="C100" t="s">
        <v>12</v>
      </c>
      <c r="D100" t="s">
        <v>13</v>
      </c>
      <c r="E100" t="s">
        <v>14</v>
      </c>
      <c r="F100" t="s">
        <v>407</v>
      </c>
      <c r="G100">
        <v>16999</v>
      </c>
      <c r="H100">
        <v>15995</v>
      </c>
      <c r="I100">
        <v>202</v>
      </c>
      <c r="J100">
        <v>15004</v>
      </c>
      <c r="K100">
        <f>Table1[[#This Row],[AsrTot]]-Table1[[#This Row],[BrdTot]]</f>
        <v>1004</v>
      </c>
    </row>
    <row r="101" spans="1:11" x14ac:dyDescent="0.55000000000000004">
      <c r="A101" t="s">
        <v>223</v>
      </c>
      <c r="B101" t="s">
        <v>224</v>
      </c>
      <c r="C101" t="s">
        <v>12</v>
      </c>
      <c r="D101" t="s">
        <v>13</v>
      </c>
      <c r="E101" t="s">
        <v>14</v>
      </c>
      <c r="F101" t="s">
        <v>224</v>
      </c>
      <c r="G101">
        <v>19999</v>
      </c>
      <c r="H101">
        <v>18933</v>
      </c>
      <c r="I101">
        <v>234</v>
      </c>
      <c r="J101">
        <v>15002</v>
      </c>
      <c r="K101">
        <f>Table1[[#This Row],[AsrTot]]-Table1[[#This Row],[BrdTot]]</f>
        <v>1066</v>
      </c>
    </row>
    <row r="102" spans="1:11" x14ac:dyDescent="0.55000000000000004">
      <c r="A102" t="s">
        <v>325</v>
      </c>
      <c r="B102" t="s">
        <v>326</v>
      </c>
      <c r="C102" t="s">
        <v>12</v>
      </c>
      <c r="D102" t="s">
        <v>13</v>
      </c>
      <c r="E102" t="s">
        <v>14</v>
      </c>
      <c r="F102" t="s">
        <v>326</v>
      </c>
      <c r="G102">
        <v>11999</v>
      </c>
      <c r="H102">
        <v>10932</v>
      </c>
      <c r="I102">
        <v>202</v>
      </c>
      <c r="J102">
        <v>15001</v>
      </c>
      <c r="K102">
        <f>Table1[[#This Row],[AsrTot]]-Table1[[#This Row],[BrdTot]]</f>
        <v>1067</v>
      </c>
    </row>
    <row r="103" spans="1:11" x14ac:dyDescent="0.55000000000000004">
      <c r="A103" t="s">
        <v>321</v>
      </c>
      <c r="B103" t="s">
        <v>322</v>
      </c>
      <c r="C103" t="s">
        <v>12</v>
      </c>
      <c r="D103" t="s">
        <v>13</v>
      </c>
      <c r="E103" t="s">
        <v>14</v>
      </c>
      <c r="F103" t="s">
        <v>322</v>
      </c>
      <c r="G103">
        <v>22999</v>
      </c>
      <c r="H103">
        <v>21929</v>
      </c>
      <c r="I103">
        <v>203</v>
      </c>
      <c r="J103">
        <v>15001</v>
      </c>
      <c r="K103">
        <f>Table1[[#This Row],[AsrTot]]-Table1[[#This Row],[BrdTot]]</f>
        <v>1070</v>
      </c>
    </row>
    <row r="104" spans="1:11" x14ac:dyDescent="0.55000000000000004">
      <c r="A104" t="s">
        <v>269</v>
      </c>
      <c r="B104" t="s">
        <v>270</v>
      </c>
      <c r="C104" t="s">
        <v>12</v>
      </c>
      <c r="D104" t="s">
        <v>13</v>
      </c>
      <c r="E104" t="s">
        <v>14</v>
      </c>
      <c r="F104" t="s">
        <v>270</v>
      </c>
      <c r="G104">
        <v>24000</v>
      </c>
      <c r="H104">
        <v>22899</v>
      </c>
      <c r="I104">
        <v>211</v>
      </c>
      <c r="J104">
        <v>15001</v>
      </c>
      <c r="K104">
        <f>Table1[[#This Row],[AsrTot]]-Table1[[#This Row],[BrdTot]]</f>
        <v>1101</v>
      </c>
    </row>
    <row r="105" spans="1:11" x14ac:dyDescent="0.55000000000000004">
      <c r="A105" t="s">
        <v>424</v>
      </c>
      <c r="B105" t="s">
        <v>425</v>
      </c>
      <c r="C105" t="s">
        <v>12</v>
      </c>
      <c r="D105" t="s">
        <v>13</v>
      </c>
      <c r="E105" t="s">
        <v>14</v>
      </c>
      <c r="F105" t="s">
        <v>425</v>
      </c>
      <c r="G105">
        <v>19999</v>
      </c>
      <c r="H105">
        <v>18869</v>
      </c>
      <c r="I105">
        <v>202</v>
      </c>
      <c r="J105">
        <v>15002</v>
      </c>
      <c r="K105">
        <f>Table1[[#This Row],[AsrTot]]-Table1[[#This Row],[BrdTot]]</f>
        <v>1130</v>
      </c>
    </row>
    <row r="106" spans="1:11" x14ac:dyDescent="0.55000000000000004">
      <c r="A106" t="s">
        <v>528</v>
      </c>
      <c r="B106" t="s">
        <v>529</v>
      </c>
      <c r="C106" t="s">
        <v>12</v>
      </c>
      <c r="D106" t="s">
        <v>13</v>
      </c>
      <c r="E106" t="s">
        <v>14</v>
      </c>
      <c r="F106" t="s">
        <v>529</v>
      </c>
      <c r="G106">
        <v>24999</v>
      </c>
      <c r="H106">
        <v>23824</v>
      </c>
      <c r="I106">
        <v>205</v>
      </c>
      <c r="J106">
        <v>15001</v>
      </c>
      <c r="K106">
        <f>Table1[[#This Row],[AsrTot]]-Table1[[#This Row],[BrdTot]]</f>
        <v>1175</v>
      </c>
    </row>
    <row r="107" spans="1:11" x14ac:dyDescent="0.55000000000000004">
      <c r="A107" t="s">
        <v>285</v>
      </c>
      <c r="B107" t="s">
        <v>286</v>
      </c>
      <c r="C107" t="s">
        <v>12</v>
      </c>
      <c r="D107" t="s">
        <v>13</v>
      </c>
      <c r="E107" t="s">
        <v>14</v>
      </c>
      <c r="F107" t="s">
        <v>286</v>
      </c>
      <c r="G107">
        <v>19999</v>
      </c>
      <c r="H107">
        <v>18780</v>
      </c>
      <c r="I107">
        <v>203</v>
      </c>
      <c r="J107">
        <v>15001</v>
      </c>
      <c r="K107">
        <f>Table1[[#This Row],[AsrTot]]-Table1[[#This Row],[BrdTot]]</f>
        <v>1219</v>
      </c>
    </row>
    <row r="108" spans="1:11" x14ac:dyDescent="0.55000000000000004">
      <c r="A108" t="s">
        <v>161</v>
      </c>
      <c r="B108" t="s">
        <v>162</v>
      </c>
      <c r="C108" t="s">
        <v>12</v>
      </c>
      <c r="D108" t="s">
        <v>13</v>
      </c>
      <c r="E108" t="s">
        <v>14</v>
      </c>
      <c r="F108" t="s">
        <v>162</v>
      </c>
      <c r="G108">
        <v>18999</v>
      </c>
      <c r="H108">
        <v>17765</v>
      </c>
      <c r="I108">
        <v>202</v>
      </c>
      <c r="J108">
        <v>15001</v>
      </c>
      <c r="K108">
        <f>Table1[[#This Row],[AsrTot]]-Table1[[#This Row],[BrdTot]]</f>
        <v>1234</v>
      </c>
    </row>
    <row r="109" spans="1:11" x14ac:dyDescent="0.55000000000000004">
      <c r="A109" t="s">
        <v>287</v>
      </c>
      <c r="B109" t="s">
        <v>288</v>
      </c>
      <c r="C109" t="s">
        <v>12</v>
      </c>
      <c r="D109" t="s">
        <v>13</v>
      </c>
      <c r="E109" t="s">
        <v>14</v>
      </c>
      <c r="F109" t="s">
        <v>288</v>
      </c>
      <c r="G109">
        <v>20999</v>
      </c>
      <c r="H109">
        <v>19758</v>
      </c>
      <c r="I109">
        <v>203</v>
      </c>
      <c r="J109">
        <v>15001</v>
      </c>
      <c r="K109">
        <f>Table1[[#This Row],[AsrTot]]-Table1[[#This Row],[BrdTot]]</f>
        <v>1241</v>
      </c>
    </row>
    <row r="110" spans="1:11" x14ac:dyDescent="0.55000000000000004">
      <c r="A110" t="s">
        <v>165</v>
      </c>
      <c r="B110" t="s">
        <v>166</v>
      </c>
      <c r="C110" t="s">
        <v>12</v>
      </c>
      <c r="D110" t="s">
        <v>13</v>
      </c>
      <c r="E110" t="s">
        <v>14</v>
      </c>
      <c r="F110" t="s">
        <v>166</v>
      </c>
      <c r="G110">
        <v>18999</v>
      </c>
      <c r="H110">
        <v>17757</v>
      </c>
      <c r="I110">
        <v>203</v>
      </c>
      <c r="J110">
        <v>15001</v>
      </c>
      <c r="K110">
        <f>Table1[[#This Row],[AsrTot]]-Table1[[#This Row],[BrdTot]]</f>
        <v>1242</v>
      </c>
    </row>
    <row r="111" spans="1:11" x14ac:dyDescent="0.55000000000000004">
      <c r="A111" t="s">
        <v>414</v>
      </c>
      <c r="B111" t="s">
        <v>415</v>
      </c>
      <c r="C111" t="s">
        <v>12</v>
      </c>
      <c r="D111" t="s">
        <v>13</v>
      </c>
      <c r="E111" t="s">
        <v>14</v>
      </c>
      <c r="F111" t="s">
        <v>415</v>
      </c>
      <c r="G111">
        <v>17999</v>
      </c>
      <c r="H111">
        <v>16747</v>
      </c>
      <c r="I111">
        <v>203</v>
      </c>
      <c r="J111">
        <v>15008</v>
      </c>
      <c r="K111">
        <f>Table1[[#This Row],[AsrTot]]-Table1[[#This Row],[BrdTot]]</f>
        <v>1252</v>
      </c>
    </row>
    <row r="112" spans="1:11" x14ac:dyDescent="0.55000000000000004">
      <c r="A112" t="s">
        <v>15</v>
      </c>
      <c r="B112" t="s">
        <v>16</v>
      </c>
      <c r="C112" t="s">
        <v>12</v>
      </c>
      <c r="D112" t="s">
        <v>13</v>
      </c>
      <c r="E112" t="s">
        <v>14</v>
      </c>
      <c r="F112" t="s">
        <v>16</v>
      </c>
      <c r="G112">
        <v>16999</v>
      </c>
      <c r="H112">
        <v>15741</v>
      </c>
      <c r="I112">
        <v>203</v>
      </c>
      <c r="J112">
        <v>15001</v>
      </c>
      <c r="K112">
        <f>Table1[[#This Row],[AsrTot]]-Table1[[#This Row],[BrdTot]]</f>
        <v>1258</v>
      </c>
    </row>
    <row r="113" spans="1:11" x14ac:dyDescent="0.55000000000000004">
      <c r="A113" t="s">
        <v>15</v>
      </c>
      <c r="B113" t="s">
        <v>17</v>
      </c>
      <c r="C113" t="s">
        <v>12</v>
      </c>
      <c r="D113" t="s">
        <v>13</v>
      </c>
      <c r="E113" t="s">
        <v>14</v>
      </c>
      <c r="F113" t="s">
        <v>16</v>
      </c>
      <c r="G113">
        <v>16999</v>
      </c>
      <c r="H113">
        <v>15741</v>
      </c>
      <c r="I113">
        <v>203</v>
      </c>
      <c r="J113">
        <v>15001</v>
      </c>
      <c r="K113">
        <f>Table1[[#This Row],[AsrTot]]-Table1[[#This Row],[BrdTot]]</f>
        <v>1258</v>
      </c>
    </row>
    <row r="114" spans="1:11" x14ac:dyDescent="0.55000000000000004">
      <c r="A114" t="s">
        <v>335</v>
      </c>
      <c r="B114" t="s">
        <v>336</v>
      </c>
      <c r="C114" t="s">
        <v>12</v>
      </c>
      <c r="D114" t="s">
        <v>13</v>
      </c>
      <c r="E114" t="s">
        <v>14</v>
      </c>
      <c r="F114" t="s">
        <v>336</v>
      </c>
      <c r="G114">
        <v>21999</v>
      </c>
      <c r="H114">
        <v>20740</v>
      </c>
      <c r="I114">
        <v>203</v>
      </c>
      <c r="J114">
        <v>15001</v>
      </c>
      <c r="K114">
        <f>Table1[[#This Row],[AsrTot]]-Table1[[#This Row],[BrdTot]]</f>
        <v>1259</v>
      </c>
    </row>
    <row r="115" spans="1:11" x14ac:dyDescent="0.55000000000000004">
      <c r="A115" t="s">
        <v>273</v>
      </c>
      <c r="B115" t="s">
        <v>274</v>
      </c>
      <c r="C115" t="s">
        <v>12</v>
      </c>
      <c r="D115" t="s">
        <v>13</v>
      </c>
      <c r="E115" t="s">
        <v>14</v>
      </c>
      <c r="F115" t="s">
        <v>274</v>
      </c>
      <c r="G115">
        <v>19999</v>
      </c>
      <c r="H115">
        <v>18734</v>
      </c>
      <c r="I115">
        <v>203</v>
      </c>
      <c r="J115">
        <v>15002</v>
      </c>
      <c r="K115">
        <f>Table1[[#This Row],[AsrTot]]-Table1[[#This Row],[BrdTot]]</f>
        <v>1265</v>
      </c>
    </row>
    <row r="116" spans="1:11" x14ac:dyDescent="0.55000000000000004">
      <c r="A116" t="s">
        <v>291</v>
      </c>
      <c r="B116" t="s">
        <v>292</v>
      </c>
      <c r="C116" t="s">
        <v>12</v>
      </c>
      <c r="D116" t="s">
        <v>13</v>
      </c>
      <c r="E116" t="s">
        <v>14</v>
      </c>
      <c r="F116" t="s">
        <v>292</v>
      </c>
      <c r="G116">
        <v>18999</v>
      </c>
      <c r="H116">
        <v>17728</v>
      </c>
      <c r="I116">
        <v>203</v>
      </c>
      <c r="J116">
        <v>15002</v>
      </c>
      <c r="K116">
        <f>Table1[[#This Row],[AsrTot]]-Table1[[#This Row],[BrdTot]]</f>
        <v>1271</v>
      </c>
    </row>
    <row r="117" spans="1:11" x14ac:dyDescent="0.55000000000000004">
      <c r="A117" t="s">
        <v>347</v>
      </c>
      <c r="B117" t="s">
        <v>348</v>
      </c>
      <c r="C117" t="s">
        <v>12</v>
      </c>
      <c r="D117" t="s">
        <v>13</v>
      </c>
      <c r="E117" t="s">
        <v>14</v>
      </c>
      <c r="F117" t="s">
        <v>348</v>
      </c>
      <c r="G117">
        <v>28999</v>
      </c>
      <c r="H117">
        <v>27728</v>
      </c>
      <c r="I117">
        <v>211</v>
      </c>
      <c r="J117">
        <v>15001</v>
      </c>
      <c r="K117">
        <f>Table1[[#This Row],[AsrTot]]-Table1[[#This Row],[BrdTot]]</f>
        <v>1271</v>
      </c>
    </row>
    <row r="118" spans="1:11" x14ac:dyDescent="0.55000000000000004">
      <c r="A118" t="s">
        <v>557</v>
      </c>
      <c r="B118" t="s">
        <v>558</v>
      </c>
      <c r="C118" t="s">
        <v>12</v>
      </c>
      <c r="D118" t="s">
        <v>13</v>
      </c>
      <c r="E118" t="s">
        <v>14</v>
      </c>
      <c r="F118" t="s">
        <v>558</v>
      </c>
      <c r="G118">
        <v>21999</v>
      </c>
      <c r="H118">
        <v>20717</v>
      </c>
      <c r="I118">
        <v>203</v>
      </c>
      <c r="J118">
        <v>15001</v>
      </c>
      <c r="K118">
        <f>Table1[[#This Row],[AsrTot]]-Table1[[#This Row],[BrdTot]]</f>
        <v>1282</v>
      </c>
    </row>
    <row r="119" spans="1:11" x14ac:dyDescent="0.55000000000000004">
      <c r="A119" t="s">
        <v>197</v>
      </c>
      <c r="B119" t="s">
        <v>198</v>
      </c>
      <c r="C119" t="s">
        <v>12</v>
      </c>
      <c r="D119" t="s">
        <v>13</v>
      </c>
      <c r="E119" t="s">
        <v>14</v>
      </c>
      <c r="F119" t="s">
        <v>198</v>
      </c>
      <c r="G119">
        <v>17999</v>
      </c>
      <c r="H119">
        <v>16702</v>
      </c>
      <c r="I119">
        <v>203</v>
      </c>
      <c r="J119">
        <v>15001</v>
      </c>
      <c r="K119">
        <f>Table1[[#This Row],[AsrTot]]-Table1[[#This Row],[BrdTot]]</f>
        <v>1297</v>
      </c>
    </row>
    <row r="120" spans="1:11" x14ac:dyDescent="0.55000000000000004">
      <c r="A120" t="s">
        <v>627</v>
      </c>
      <c r="B120" t="s">
        <v>628</v>
      </c>
      <c r="C120" t="s">
        <v>12</v>
      </c>
      <c r="D120" t="s">
        <v>13</v>
      </c>
      <c r="E120" t="s">
        <v>14</v>
      </c>
      <c r="F120" t="s">
        <v>628</v>
      </c>
      <c r="G120">
        <v>22999</v>
      </c>
      <c r="H120">
        <v>21687</v>
      </c>
      <c r="I120">
        <v>203</v>
      </c>
      <c r="J120">
        <v>15002</v>
      </c>
      <c r="K120">
        <f>Table1[[#This Row],[AsrTot]]-Table1[[#This Row],[BrdTot]]</f>
        <v>1312</v>
      </c>
    </row>
    <row r="121" spans="1:11" x14ac:dyDescent="0.55000000000000004">
      <c r="A121" t="s">
        <v>10</v>
      </c>
      <c r="B121" t="s">
        <v>11</v>
      </c>
      <c r="C121" t="s">
        <v>12</v>
      </c>
      <c r="D121" t="s">
        <v>13</v>
      </c>
      <c r="E121" t="s">
        <v>14</v>
      </c>
      <c r="F121" t="s">
        <v>11</v>
      </c>
      <c r="G121">
        <v>17999</v>
      </c>
      <c r="H121">
        <v>16678</v>
      </c>
      <c r="I121">
        <v>203</v>
      </c>
      <c r="J121">
        <v>15001</v>
      </c>
      <c r="K121">
        <f>Table1[[#This Row],[AsrTot]]-Table1[[#This Row],[BrdTot]]</f>
        <v>1321</v>
      </c>
    </row>
    <row r="122" spans="1:11" x14ac:dyDescent="0.55000000000000004">
      <c r="A122" t="s">
        <v>520</v>
      </c>
      <c r="B122" t="s">
        <v>521</v>
      </c>
      <c r="C122" t="s">
        <v>12</v>
      </c>
      <c r="D122" t="s">
        <v>13</v>
      </c>
      <c r="E122" t="s">
        <v>14</v>
      </c>
      <c r="F122" t="s">
        <v>521</v>
      </c>
      <c r="G122">
        <v>20955</v>
      </c>
      <c r="H122">
        <v>19590</v>
      </c>
      <c r="I122">
        <v>203</v>
      </c>
      <c r="J122">
        <v>15001</v>
      </c>
      <c r="K122">
        <f>Table1[[#This Row],[AsrTot]]-Table1[[#This Row],[BrdTot]]</f>
        <v>1365</v>
      </c>
    </row>
    <row r="123" spans="1:11" x14ac:dyDescent="0.55000000000000004">
      <c r="A123" t="s">
        <v>545</v>
      </c>
      <c r="B123" t="s">
        <v>546</v>
      </c>
      <c r="C123" t="s">
        <v>12</v>
      </c>
      <c r="D123" t="s">
        <v>13</v>
      </c>
      <c r="E123" t="s">
        <v>14</v>
      </c>
      <c r="F123" t="s">
        <v>546</v>
      </c>
      <c r="G123">
        <v>20999</v>
      </c>
      <c r="H123">
        <v>19627</v>
      </c>
      <c r="I123">
        <v>203</v>
      </c>
      <c r="J123">
        <v>15001</v>
      </c>
      <c r="K123">
        <f>Table1[[#This Row],[AsrTot]]-Table1[[#This Row],[BrdTot]]</f>
        <v>1372</v>
      </c>
    </row>
    <row r="124" spans="1:11" x14ac:dyDescent="0.55000000000000004">
      <c r="A124" t="s">
        <v>143</v>
      </c>
      <c r="B124" t="s">
        <v>144</v>
      </c>
      <c r="C124" t="s">
        <v>12</v>
      </c>
      <c r="D124" t="s">
        <v>13</v>
      </c>
      <c r="E124" t="s">
        <v>14</v>
      </c>
      <c r="F124" t="s">
        <v>144</v>
      </c>
      <c r="G124">
        <v>24999</v>
      </c>
      <c r="H124">
        <v>23585</v>
      </c>
      <c r="I124">
        <v>205</v>
      </c>
      <c r="J124">
        <v>15001</v>
      </c>
      <c r="K124">
        <f>Table1[[#This Row],[AsrTot]]-Table1[[#This Row],[BrdTot]]</f>
        <v>1414</v>
      </c>
    </row>
    <row r="125" spans="1:11" x14ac:dyDescent="0.55000000000000004">
      <c r="A125" t="s">
        <v>263</v>
      </c>
      <c r="B125" t="s">
        <v>264</v>
      </c>
      <c r="C125" t="s">
        <v>12</v>
      </c>
      <c r="D125" t="s">
        <v>13</v>
      </c>
      <c r="E125" t="s">
        <v>14</v>
      </c>
      <c r="F125" t="s">
        <v>264</v>
      </c>
      <c r="G125">
        <v>20999</v>
      </c>
      <c r="H125">
        <v>19584</v>
      </c>
      <c r="I125">
        <v>203</v>
      </c>
      <c r="J125">
        <v>15002</v>
      </c>
      <c r="K125">
        <f>Table1[[#This Row],[AsrTot]]-Table1[[#This Row],[BrdTot]]</f>
        <v>1415</v>
      </c>
    </row>
    <row r="126" spans="1:11" x14ac:dyDescent="0.55000000000000004">
      <c r="A126" t="s">
        <v>25</v>
      </c>
      <c r="B126" t="s">
        <v>26</v>
      </c>
      <c r="C126" t="s">
        <v>12</v>
      </c>
      <c r="D126" t="s">
        <v>13</v>
      </c>
      <c r="E126" t="s">
        <v>14</v>
      </c>
      <c r="F126" t="s">
        <v>26</v>
      </c>
      <c r="G126">
        <v>25999</v>
      </c>
      <c r="H126">
        <v>24580</v>
      </c>
      <c r="I126">
        <v>211</v>
      </c>
      <c r="J126">
        <v>11001</v>
      </c>
      <c r="K126">
        <f>Table1[[#This Row],[AsrTot]]-Table1[[#This Row],[BrdTot]]</f>
        <v>1419</v>
      </c>
    </row>
    <row r="127" spans="1:11" x14ac:dyDescent="0.55000000000000004">
      <c r="A127" t="s">
        <v>167</v>
      </c>
      <c r="B127" t="s">
        <v>168</v>
      </c>
      <c r="C127" t="s">
        <v>12</v>
      </c>
      <c r="D127" t="s">
        <v>13</v>
      </c>
      <c r="E127" t="s">
        <v>14</v>
      </c>
      <c r="F127" t="s">
        <v>168</v>
      </c>
      <c r="G127">
        <v>21575</v>
      </c>
      <c r="H127">
        <v>20147</v>
      </c>
      <c r="I127">
        <v>211</v>
      </c>
      <c r="J127">
        <v>15001</v>
      </c>
      <c r="K127">
        <f>Table1[[#This Row],[AsrTot]]-Table1[[#This Row],[BrdTot]]</f>
        <v>1428</v>
      </c>
    </row>
    <row r="128" spans="1:11" x14ac:dyDescent="0.55000000000000004">
      <c r="A128" t="s">
        <v>460</v>
      </c>
      <c r="B128" t="s">
        <v>461</v>
      </c>
      <c r="C128" t="s">
        <v>12</v>
      </c>
      <c r="D128" t="s">
        <v>13</v>
      </c>
      <c r="E128" t="s">
        <v>14</v>
      </c>
      <c r="F128" t="s">
        <v>461</v>
      </c>
      <c r="G128">
        <v>23999</v>
      </c>
      <c r="H128">
        <v>22566</v>
      </c>
      <c r="I128">
        <v>203</v>
      </c>
      <c r="J128">
        <v>15001</v>
      </c>
      <c r="K128">
        <f>Table1[[#This Row],[AsrTot]]-Table1[[#This Row],[BrdTot]]</f>
        <v>1433</v>
      </c>
    </row>
    <row r="129" spans="1:11" x14ac:dyDescent="0.55000000000000004">
      <c r="A129" t="s">
        <v>87</v>
      </c>
      <c r="B129" t="s">
        <v>88</v>
      </c>
      <c r="C129" t="s">
        <v>12</v>
      </c>
      <c r="D129" t="s">
        <v>13</v>
      </c>
      <c r="E129" t="s">
        <v>14</v>
      </c>
      <c r="F129" t="s">
        <v>88</v>
      </c>
      <c r="G129">
        <v>23999</v>
      </c>
      <c r="H129">
        <v>22524</v>
      </c>
      <c r="I129">
        <v>203</v>
      </c>
      <c r="J129">
        <v>11001</v>
      </c>
      <c r="K129">
        <f>Table1[[#This Row],[AsrTot]]-Table1[[#This Row],[BrdTot]]</f>
        <v>1475</v>
      </c>
    </row>
    <row r="130" spans="1:11" x14ac:dyDescent="0.55000000000000004">
      <c r="A130" t="s">
        <v>103</v>
      </c>
      <c r="B130" t="s">
        <v>104</v>
      </c>
      <c r="C130" t="s">
        <v>12</v>
      </c>
      <c r="D130" t="s">
        <v>13</v>
      </c>
      <c r="E130" t="s">
        <v>14</v>
      </c>
      <c r="F130" t="s">
        <v>104</v>
      </c>
      <c r="G130">
        <v>18999</v>
      </c>
      <c r="H130">
        <v>17524</v>
      </c>
      <c r="I130">
        <v>203</v>
      </c>
      <c r="J130">
        <v>15001</v>
      </c>
      <c r="K130">
        <f>Table1[[#This Row],[AsrTot]]-Table1[[#This Row],[BrdTot]]</f>
        <v>1475</v>
      </c>
    </row>
    <row r="131" spans="1:11" x14ac:dyDescent="0.55000000000000004">
      <c r="A131" t="s">
        <v>163</v>
      </c>
      <c r="B131" t="s">
        <v>164</v>
      </c>
      <c r="C131" t="s">
        <v>12</v>
      </c>
      <c r="D131" t="s">
        <v>13</v>
      </c>
      <c r="E131" t="s">
        <v>14</v>
      </c>
      <c r="F131" t="s">
        <v>164</v>
      </c>
      <c r="G131">
        <v>25999</v>
      </c>
      <c r="H131">
        <v>24520</v>
      </c>
      <c r="I131">
        <v>211</v>
      </c>
      <c r="J131">
        <v>15001</v>
      </c>
      <c r="K131">
        <f>Table1[[#This Row],[AsrTot]]-Table1[[#This Row],[BrdTot]]</f>
        <v>1479</v>
      </c>
    </row>
    <row r="132" spans="1:11" x14ac:dyDescent="0.55000000000000004">
      <c r="A132" t="s">
        <v>293</v>
      </c>
      <c r="B132" t="s">
        <v>294</v>
      </c>
      <c r="C132" t="s">
        <v>12</v>
      </c>
      <c r="D132" t="s">
        <v>13</v>
      </c>
      <c r="E132" t="s">
        <v>14</v>
      </c>
      <c r="F132" t="s">
        <v>294</v>
      </c>
      <c r="G132">
        <v>27999</v>
      </c>
      <c r="H132">
        <v>26500</v>
      </c>
      <c r="I132">
        <v>211</v>
      </c>
      <c r="J132">
        <v>15001</v>
      </c>
      <c r="K132">
        <f>Table1[[#This Row],[AsrTot]]-Table1[[#This Row],[BrdTot]]</f>
        <v>1499</v>
      </c>
    </row>
    <row r="133" spans="1:11" x14ac:dyDescent="0.55000000000000004">
      <c r="A133" t="s">
        <v>575</v>
      </c>
      <c r="B133" t="s">
        <v>576</v>
      </c>
      <c r="C133" t="s">
        <v>12</v>
      </c>
      <c r="D133" t="s">
        <v>13</v>
      </c>
      <c r="E133" t="s">
        <v>14</v>
      </c>
      <c r="F133" t="s">
        <v>576</v>
      </c>
      <c r="G133">
        <v>18999</v>
      </c>
      <c r="H133">
        <v>17475</v>
      </c>
      <c r="I133">
        <v>234</v>
      </c>
      <c r="J133">
        <v>15002</v>
      </c>
      <c r="K133">
        <f>Table1[[#This Row],[AsrTot]]-Table1[[#This Row],[BrdTot]]</f>
        <v>1524</v>
      </c>
    </row>
    <row r="134" spans="1:11" x14ac:dyDescent="0.55000000000000004">
      <c r="A134" t="s">
        <v>432</v>
      </c>
      <c r="B134" t="s">
        <v>433</v>
      </c>
      <c r="C134" t="s">
        <v>12</v>
      </c>
      <c r="D134" t="s">
        <v>13</v>
      </c>
      <c r="E134" t="s">
        <v>14</v>
      </c>
      <c r="F134" t="s">
        <v>433</v>
      </c>
      <c r="G134">
        <v>20999</v>
      </c>
      <c r="H134">
        <v>19439</v>
      </c>
      <c r="I134">
        <v>205</v>
      </c>
      <c r="J134">
        <v>15001</v>
      </c>
      <c r="K134">
        <f>Table1[[#This Row],[AsrTot]]-Table1[[#This Row],[BrdTot]]</f>
        <v>1560</v>
      </c>
    </row>
    <row r="135" spans="1:11" x14ac:dyDescent="0.55000000000000004">
      <c r="A135" t="s">
        <v>361</v>
      </c>
      <c r="B135" t="s">
        <v>362</v>
      </c>
      <c r="C135" t="s">
        <v>12</v>
      </c>
      <c r="D135" t="s">
        <v>13</v>
      </c>
      <c r="E135" t="s">
        <v>14</v>
      </c>
      <c r="F135" t="s">
        <v>362</v>
      </c>
      <c r="G135">
        <v>29000</v>
      </c>
      <c r="H135">
        <v>27430</v>
      </c>
      <c r="I135">
        <v>211</v>
      </c>
      <c r="J135">
        <v>15001</v>
      </c>
      <c r="K135">
        <f>Table1[[#This Row],[AsrTot]]-Table1[[#This Row],[BrdTot]]</f>
        <v>1570</v>
      </c>
    </row>
    <row r="136" spans="1:11" x14ac:dyDescent="0.55000000000000004">
      <c r="A136" t="s">
        <v>430</v>
      </c>
      <c r="B136" t="s">
        <v>431</v>
      </c>
      <c r="C136" t="s">
        <v>12</v>
      </c>
      <c r="D136" t="s">
        <v>13</v>
      </c>
      <c r="E136" t="s">
        <v>14</v>
      </c>
      <c r="F136" t="s">
        <v>431</v>
      </c>
      <c r="G136">
        <v>18999</v>
      </c>
      <c r="H136">
        <v>17423</v>
      </c>
      <c r="I136">
        <v>203</v>
      </c>
      <c r="J136">
        <v>15001</v>
      </c>
      <c r="K136">
        <f>Table1[[#This Row],[AsrTot]]-Table1[[#This Row],[BrdTot]]</f>
        <v>1576</v>
      </c>
    </row>
    <row r="137" spans="1:11" x14ac:dyDescent="0.55000000000000004">
      <c r="A137" t="s">
        <v>307</v>
      </c>
      <c r="B137" t="s">
        <v>308</v>
      </c>
      <c r="C137" t="s">
        <v>12</v>
      </c>
      <c r="D137" t="s">
        <v>13</v>
      </c>
      <c r="E137" t="s">
        <v>14</v>
      </c>
      <c r="F137" t="s">
        <v>308</v>
      </c>
      <c r="G137">
        <v>19999</v>
      </c>
      <c r="H137">
        <v>18403</v>
      </c>
      <c r="I137">
        <v>203</v>
      </c>
      <c r="J137">
        <v>15001</v>
      </c>
      <c r="K137">
        <f>Table1[[#This Row],[AsrTot]]-Table1[[#This Row],[BrdTot]]</f>
        <v>1596</v>
      </c>
    </row>
    <row r="138" spans="1:11" x14ac:dyDescent="0.55000000000000004">
      <c r="A138" t="s">
        <v>95</v>
      </c>
      <c r="B138" t="s">
        <v>96</v>
      </c>
      <c r="C138" t="s">
        <v>12</v>
      </c>
      <c r="D138" t="s">
        <v>13</v>
      </c>
      <c r="E138" t="s">
        <v>14</v>
      </c>
      <c r="F138" t="s">
        <v>96</v>
      </c>
      <c r="G138">
        <v>28000</v>
      </c>
      <c r="H138">
        <v>26401</v>
      </c>
      <c r="I138">
        <v>205</v>
      </c>
      <c r="J138">
        <v>11001</v>
      </c>
      <c r="K138">
        <f>Table1[[#This Row],[AsrTot]]-Table1[[#This Row],[BrdTot]]</f>
        <v>1599</v>
      </c>
    </row>
    <row r="139" spans="1:11" x14ac:dyDescent="0.55000000000000004">
      <c r="A139" t="s">
        <v>195</v>
      </c>
      <c r="B139" t="s">
        <v>196</v>
      </c>
      <c r="C139" t="s">
        <v>12</v>
      </c>
      <c r="D139" t="s">
        <v>13</v>
      </c>
      <c r="E139" t="s">
        <v>14</v>
      </c>
      <c r="F139" t="s">
        <v>196</v>
      </c>
      <c r="G139">
        <v>21999</v>
      </c>
      <c r="H139">
        <v>20388</v>
      </c>
      <c r="I139">
        <v>203</v>
      </c>
      <c r="J139">
        <v>15001</v>
      </c>
      <c r="K139">
        <f>Table1[[#This Row],[AsrTot]]-Table1[[#This Row],[BrdTot]]</f>
        <v>1611</v>
      </c>
    </row>
    <row r="140" spans="1:11" x14ac:dyDescent="0.55000000000000004">
      <c r="A140" t="s">
        <v>261</v>
      </c>
      <c r="B140" t="s">
        <v>262</v>
      </c>
      <c r="C140" t="s">
        <v>12</v>
      </c>
      <c r="D140" t="s">
        <v>13</v>
      </c>
      <c r="E140" t="s">
        <v>14</v>
      </c>
      <c r="F140" t="s">
        <v>262</v>
      </c>
      <c r="G140">
        <v>17999</v>
      </c>
      <c r="H140">
        <v>16388</v>
      </c>
      <c r="I140">
        <v>203</v>
      </c>
      <c r="J140">
        <v>15001</v>
      </c>
      <c r="K140">
        <f>Table1[[#This Row],[AsrTot]]-Table1[[#This Row],[BrdTot]]</f>
        <v>1611</v>
      </c>
    </row>
    <row r="141" spans="1:11" x14ac:dyDescent="0.55000000000000004">
      <c r="A141" t="s">
        <v>115</v>
      </c>
      <c r="B141" t="s">
        <v>116</v>
      </c>
      <c r="C141" t="s">
        <v>12</v>
      </c>
      <c r="D141" t="s">
        <v>13</v>
      </c>
      <c r="E141" t="s">
        <v>14</v>
      </c>
      <c r="F141" t="s">
        <v>116</v>
      </c>
      <c r="G141">
        <v>17999</v>
      </c>
      <c r="H141">
        <v>16366</v>
      </c>
      <c r="I141">
        <v>202</v>
      </c>
      <c r="J141">
        <v>15001</v>
      </c>
      <c r="K141">
        <f>Table1[[#This Row],[AsrTot]]-Table1[[#This Row],[BrdTot]]</f>
        <v>1633</v>
      </c>
    </row>
    <row r="142" spans="1:11" x14ac:dyDescent="0.55000000000000004">
      <c r="A142" t="s">
        <v>315</v>
      </c>
      <c r="B142" t="s">
        <v>316</v>
      </c>
      <c r="C142" t="s">
        <v>12</v>
      </c>
      <c r="D142" t="s">
        <v>13</v>
      </c>
      <c r="E142" t="s">
        <v>14</v>
      </c>
      <c r="F142" t="s">
        <v>316</v>
      </c>
      <c r="G142">
        <v>23999</v>
      </c>
      <c r="H142">
        <v>22364</v>
      </c>
      <c r="I142">
        <v>203</v>
      </c>
      <c r="J142">
        <v>15001</v>
      </c>
      <c r="K142">
        <f>Table1[[#This Row],[AsrTot]]-Table1[[#This Row],[BrdTot]]</f>
        <v>1635</v>
      </c>
    </row>
    <row r="143" spans="1:11" x14ac:dyDescent="0.55000000000000004">
      <c r="A143" t="s">
        <v>259</v>
      </c>
      <c r="B143" t="s">
        <v>260</v>
      </c>
      <c r="C143" t="s">
        <v>12</v>
      </c>
      <c r="D143" t="s">
        <v>13</v>
      </c>
      <c r="E143" t="s">
        <v>14</v>
      </c>
      <c r="F143" t="s">
        <v>260</v>
      </c>
      <c r="G143">
        <v>23000</v>
      </c>
      <c r="H143">
        <v>21360</v>
      </c>
      <c r="I143">
        <v>203</v>
      </c>
      <c r="J143">
        <v>15001</v>
      </c>
      <c r="K143">
        <f>Table1[[#This Row],[AsrTot]]-Table1[[#This Row],[BrdTot]]</f>
        <v>1640</v>
      </c>
    </row>
    <row r="144" spans="1:11" x14ac:dyDescent="0.55000000000000004">
      <c r="A144" t="s">
        <v>48</v>
      </c>
      <c r="B144" t="s">
        <v>49</v>
      </c>
      <c r="C144" t="s">
        <v>12</v>
      </c>
      <c r="D144" t="s">
        <v>13</v>
      </c>
      <c r="E144" t="s">
        <v>14</v>
      </c>
      <c r="F144" t="s">
        <v>49</v>
      </c>
      <c r="G144">
        <v>23999</v>
      </c>
      <c r="H144">
        <v>22354</v>
      </c>
      <c r="I144">
        <v>211</v>
      </c>
      <c r="J144">
        <v>15001</v>
      </c>
      <c r="K144">
        <f>Table1[[#This Row],[AsrTot]]-Table1[[#This Row],[BrdTot]]</f>
        <v>1645</v>
      </c>
    </row>
    <row r="145" spans="1:11" x14ac:dyDescent="0.55000000000000004">
      <c r="A145" t="s">
        <v>416</v>
      </c>
      <c r="B145" t="s">
        <v>417</v>
      </c>
      <c r="C145" t="s">
        <v>12</v>
      </c>
      <c r="D145" t="s">
        <v>13</v>
      </c>
      <c r="E145" t="s">
        <v>14</v>
      </c>
      <c r="F145" t="s">
        <v>417</v>
      </c>
      <c r="G145">
        <v>20999</v>
      </c>
      <c r="H145">
        <v>19347</v>
      </c>
      <c r="I145">
        <v>210</v>
      </c>
      <c r="J145">
        <v>15001</v>
      </c>
      <c r="K145">
        <f>Table1[[#This Row],[AsrTot]]-Table1[[#This Row],[BrdTot]]</f>
        <v>1652</v>
      </c>
    </row>
    <row r="146" spans="1:11" x14ac:dyDescent="0.55000000000000004">
      <c r="A146" t="s">
        <v>428</v>
      </c>
      <c r="B146" t="s">
        <v>429</v>
      </c>
      <c r="C146" t="s">
        <v>12</v>
      </c>
      <c r="D146" t="s">
        <v>13</v>
      </c>
      <c r="E146" t="s">
        <v>14</v>
      </c>
      <c r="F146" t="s">
        <v>429</v>
      </c>
      <c r="G146">
        <v>25999</v>
      </c>
      <c r="H146">
        <v>24329</v>
      </c>
      <c r="I146">
        <v>211</v>
      </c>
      <c r="J146">
        <v>15001</v>
      </c>
      <c r="K146">
        <f>Table1[[#This Row],[AsrTot]]-Table1[[#This Row],[BrdTot]]</f>
        <v>1670</v>
      </c>
    </row>
    <row r="147" spans="1:11" x14ac:dyDescent="0.55000000000000004">
      <c r="A147" t="s">
        <v>573</v>
      </c>
      <c r="B147" t="s">
        <v>574</v>
      </c>
      <c r="C147" t="s">
        <v>12</v>
      </c>
      <c r="D147" t="s">
        <v>13</v>
      </c>
      <c r="E147" t="s">
        <v>14</v>
      </c>
      <c r="F147" t="s">
        <v>574</v>
      </c>
      <c r="G147">
        <v>21999</v>
      </c>
      <c r="H147">
        <v>20318</v>
      </c>
      <c r="I147">
        <v>205</v>
      </c>
      <c r="J147">
        <v>15001</v>
      </c>
      <c r="K147">
        <f>Table1[[#This Row],[AsrTot]]-Table1[[#This Row],[BrdTot]]</f>
        <v>1681</v>
      </c>
    </row>
    <row r="148" spans="1:11" x14ac:dyDescent="0.55000000000000004">
      <c r="A148" t="s">
        <v>231</v>
      </c>
      <c r="B148" t="s">
        <v>232</v>
      </c>
      <c r="C148" t="s">
        <v>12</v>
      </c>
      <c r="D148" t="s">
        <v>13</v>
      </c>
      <c r="E148" t="s">
        <v>14</v>
      </c>
      <c r="F148" t="s">
        <v>232</v>
      </c>
      <c r="G148">
        <v>28000</v>
      </c>
      <c r="H148">
        <v>26265</v>
      </c>
      <c r="I148">
        <v>211</v>
      </c>
      <c r="J148">
        <v>15001</v>
      </c>
      <c r="K148">
        <f>Table1[[#This Row],[AsrTot]]-Table1[[#This Row],[BrdTot]]</f>
        <v>1735</v>
      </c>
    </row>
    <row r="149" spans="1:11" x14ac:dyDescent="0.55000000000000004">
      <c r="A149" t="s">
        <v>253</v>
      </c>
      <c r="B149" t="s">
        <v>254</v>
      </c>
      <c r="C149" t="s">
        <v>12</v>
      </c>
      <c r="D149" t="s">
        <v>13</v>
      </c>
      <c r="E149" t="s">
        <v>14</v>
      </c>
      <c r="F149" t="s">
        <v>254</v>
      </c>
      <c r="G149">
        <v>20999</v>
      </c>
      <c r="H149">
        <v>19247</v>
      </c>
      <c r="I149">
        <v>203</v>
      </c>
      <c r="J149">
        <v>15001</v>
      </c>
      <c r="K149">
        <f>Table1[[#This Row],[AsrTot]]-Table1[[#This Row],[BrdTot]]</f>
        <v>1752</v>
      </c>
    </row>
    <row r="150" spans="1:11" x14ac:dyDescent="0.55000000000000004">
      <c r="A150" t="s">
        <v>345</v>
      </c>
      <c r="B150" t="s">
        <v>346</v>
      </c>
      <c r="C150" t="s">
        <v>12</v>
      </c>
      <c r="D150" t="s">
        <v>13</v>
      </c>
      <c r="E150" t="s">
        <v>14</v>
      </c>
      <c r="F150" t="s">
        <v>346</v>
      </c>
      <c r="G150">
        <v>16999</v>
      </c>
      <c r="H150">
        <v>15235</v>
      </c>
      <c r="I150">
        <v>203</v>
      </c>
      <c r="J150">
        <v>15001</v>
      </c>
      <c r="K150">
        <f>Table1[[#This Row],[AsrTot]]-Table1[[#This Row],[BrdTot]]</f>
        <v>1764</v>
      </c>
    </row>
    <row r="151" spans="1:11" x14ac:dyDescent="0.55000000000000004">
      <c r="A151" t="s">
        <v>524</v>
      </c>
      <c r="B151" t="s">
        <v>525</v>
      </c>
      <c r="C151" t="s">
        <v>12</v>
      </c>
      <c r="D151" t="s">
        <v>13</v>
      </c>
      <c r="E151" t="s">
        <v>14</v>
      </c>
      <c r="F151" t="s">
        <v>525</v>
      </c>
      <c r="G151">
        <v>19999</v>
      </c>
      <c r="H151">
        <v>18224</v>
      </c>
      <c r="I151">
        <v>203</v>
      </c>
      <c r="J151">
        <v>15001</v>
      </c>
      <c r="K151">
        <f>Table1[[#This Row],[AsrTot]]-Table1[[#This Row],[BrdTot]]</f>
        <v>1775</v>
      </c>
    </row>
    <row r="152" spans="1:11" x14ac:dyDescent="0.55000000000000004">
      <c r="A152" t="s">
        <v>79</v>
      </c>
      <c r="B152" t="s">
        <v>80</v>
      </c>
      <c r="C152" t="s">
        <v>12</v>
      </c>
      <c r="D152" t="s">
        <v>13</v>
      </c>
      <c r="E152" t="s">
        <v>14</v>
      </c>
      <c r="F152" t="s">
        <v>80</v>
      </c>
      <c r="G152">
        <v>25000</v>
      </c>
      <c r="H152">
        <v>23223</v>
      </c>
      <c r="I152">
        <v>205</v>
      </c>
      <c r="J152">
        <v>11002</v>
      </c>
      <c r="K152">
        <f>Table1[[#This Row],[AsrTot]]-Table1[[#This Row],[BrdTot]]</f>
        <v>1777</v>
      </c>
    </row>
    <row r="153" spans="1:11" x14ac:dyDescent="0.55000000000000004">
      <c r="A153" t="s">
        <v>271</v>
      </c>
      <c r="B153" t="s">
        <v>272</v>
      </c>
      <c r="C153" t="s">
        <v>12</v>
      </c>
      <c r="D153" t="s">
        <v>13</v>
      </c>
      <c r="E153" t="s">
        <v>14</v>
      </c>
      <c r="F153" t="s">
        <v>272</v>
      </c>
      <c r="G153">
        <v>24999</v>
      </c>
      <c r="H153">
        <v>23214</v>
      </c>
      <c r="I153">
        <v>204</v>
      </c>
      <c r="J153">
        <v>15001</v>
      </c>
      <c r="K153">
        <f>Table1[[#This Row],[AsrTot]]-Table1[[#This Row],[BrdTot]]</f>
        <v>1785</v>
      </c>
    </row>
    <row r="154" spans="1:11" x14ac:dyDescent="0.55000000000000004">
      <c r="A154" t="s">
        <v>597</v>
      </c>
      <c r="B154" t="s">
        <v>598</v>
      </c>
      <c r="C154" t="s">
        <v>12</v>
      </c>
      <c r="D154" t="s">
        <v>13</v>
      </c>
      <c r="E154" t="s">
        <v>14</v>
      </c>
      <c r="F154" t="s">
        <v>598</v>
      </c>
      <c r="G154">
        <v>21999</v>
      </c>
      <c r="H154">
        <v>20210</v>
      </c>
      <c r="I154">
        <v>202</v>
      </c>
      <c r="J154">
        <v>15002</v>
      </c>
      <c r="K154">
        <f>Table1[[#This Row],[AsrTot]]-Table1[[#This Row],[BrdTot]]</f>
        <v>1789</v>
      </c>
    </row>
    <row r="155" spans="1:11" x14ac:dyDescent="0.55000000000000004">
      <c r="A155" t="s">
        <v>185</v>
      </c>
      <c r="B155" t="s">
        <v>186</v>
      </c>
      <c r="C155" t="s">
        <v>12</v>
      </c>
      <c r="D155" t="s">
        <v>13</v>
      </c>
      <c r="E155" t="s">
        <v>14</v>
      </c>
      <c r="F155" t="s">
        <v>186</v>
      </c>
      <c r="G155">
        <v>22999</v>
      </c>
      <c r="H155">
        <v>21191</v>
      </c>
      <c r="I155">
        <v>203</v>
      </c>
      <c r="J155">
        <v>15001</v>
      </c>
      <c r="K155">
        <f>Table1[[#This Row],[AsrTot]]-Table1[[#This Row],[BrdTot]]</f>
        <v>1808</v>
      </c>
    </row>
    <row r="156" spans="1:11" x14ac:dyDescent="0.55000000000000004">
      <c r="A156" t="s">
        <v>39</v>
      </c>
      <c r="B156" t="s">
        <v>40</v>
      </c>
      <c r="C156" t="s">
        <v>12</v>
      </c>
      <c r="D156" t="s">
        <v>13</v>
      </c>
      <c r="E156" t="s">
        <v>14</v>
      </c>
      <c r="F156" t="s">
        <v>40</v>
      </c>
      <c r="G156">
        <v>28999</v>
      </c>
      <c r="H156">
        <v>27188</v>
      </c>
      <c r="I156">
        <v>203</v>
      </c>
      <c r="J156">
        <v>27001</v>
      </c>
      <c r="K156">
        <f>Table1[[#This Row],[AsrTot]]-Table1[[#This Row],[BrdTot]]</f>
        <v>1811</v>
      </c>
    </row>
    <row r="157" spans="1:11" x14ac:dyDescent="0.55000000000000004">
      <c r="A157" t="s">
        <v>50</v>
      </c>
      <c r="B157" t="s">
        <v>51</v>
      </c>
      <c r="C157" t="s">
        <v>12</v>
      </c>
      <c r="D157" t="s">
        <v>13</v>
      </c>
      <c r="E157" t="s">
        <v>14</v>
      </c>
      <c r="F157" t="s">
        <v>51</v>
      </c>
      <c r="G157">
        <v>22999</v>
      </c>
      <c r="H157">
        <v>21178</v>
      </c>
      <c r="I157">
        <v>203</v>
      </c>
      <c r="J157">
        <v>11002</v>
      </c>
      <c r="K157">
        <f>Table1[[#This Row],[AsrTot]]-Table1[[#This Row],[BrdTot]]</f>
        <v>1821</v>
      </c>
    </row>
    <row r="158" spans="1:11" x14ac:dyDescent="0.55000000000000004">
      <c r="A158" t="s">
        <v>101</v>
      </c>
      <c r="B158" t="s">
        <v>102</v>
      </c>
      <c r="C158" t="s">
        <v>12</v>
      </c>
      <c r="D158" t="s">
        <v>13</v>
      </c>
      <c r="E158" t="s">
        <v>14</v>
      </c>
      <c r="F158" t="s">
        <v>102</v>
      </c>
      <c r="G158">
        <v>21999</v>
      </c>
      <c r="H158">
        <v>20163</v>
      </c>
      <c r="I158">
        <v>203</v>
      </c>
      <c r="J158">
        <v>15005</v>
      </c>
      <c r="K158">
        <f>Table1[[#This Row],[AsrTot]]-Table1[[#This Row],[BrdTot]]</f>
        <v>1836</v>
      </c>
    </row>
    <row r="159" spans="1:11" x14ac:dyDescent="0.55000000000000004">
      <c r="A159" t="s">
        <v>526</v>
      </c>
      <c r="B159" t="s">
        <v>527</v>
      </c>
      <c r="C159" t="s">
        <v>12</v>
      </c>
      <c r="D159" t="s">
        <v>13</v>
      </c>
      <c r="E159" t="s">
        <v>14</v>
      </c>
      <c r="F159" t="s">
        <v>527</v>
      </c>
      <c r="G159">
        <v>17999</v>
      </c>
      <c r="H159">
        <v>16157</v>
      </c>
      <c r="I159">
        <v>203</v>
      </c>
      <c r="J159">
        <v>15001</v>
      </c>
      <c r="K159">
        <f>Table1[[#This Row],[AsrTot]]-Table1[[#This Row],[BrdTot]]</f>
        <v>1842</v>
      </c>
    </row>
    <row r="160" spans="1:11" x14ac:dyDescent="0.55000000000000004">
      <c r="A160" t="s">
        <v>29</v>
      </c>
      <c r="B160" t="s">
        <v>30</v>
      </c>
      <c r="C160" t="s">
        <v>12</v>
      </c>
      <c r="D160" t="s">
        <v>13</v>
      </c>
      <c r="E160" t="s">
        <v>14</v>
      </c>
      <c r="F160" t="s">
        <v>30</v>
      </c>
      <c r="G160">
        <v>24000</v>
      </c>
      <c r="H160">
        <v>22156</v>
      </c>
      <c r="I160">
        <v>203</v>
      </c>
      <c r="J160">
        <v>11002</v>
      </c>
      <c r="K160">
        <f>Table1[[#This Row],[AsrTot]]-Table1[[#This Row],[BrdTot]]</f>
        <v>1844</v>
      </c>
    </row>
    <row r="161" spans="1:11" x14ac:dyDescent="0.55000000000000004">
      <c r="A161" t="s">
        <v>633</v>
      </c>
      <c r="B161" t="s">
        <v>634</v>
      </c>
      <c r="C161" t="s">
        <v>12</v>
      </c>
      <c r="D161" t="s">
        <v>13</v>
      </c>
      <c r="E161" t="s">
        <v>14</v>
      </c>
      <c r="F161" t="s">
        <v>634</v>
      </c>
      <c r="G161">
        <v>16999</v>
      </c>
      <c r="H161">
        <v>15153</v>
      </c>
      <c r="I161">
        <v>203</v>
      </c>
      <c r="J161">
        <v>15005</v>
      </c>
      <c r="K161">
        <f>Table1[[#This Row],[AsrTot]]-Table1[[#This Row],[BrdTot]]</f>
        <v>1846</v>
      </c>
    </row>
    <row r="162" spans="1:11" x14ac:dyDescent="0.55000000000000004">
      <c r="A162" t="s">
        <v>159</v>
      </c>
      <c r="B162" t="s">
        <v>160</v>
      </c>
      <c r="C162" t="s">
        <v>12</v>
      </c>
      <c r="D162" t="s">
        <v>13</v>
      </c>
      <c r="E162" t="s">
        <v>14</v>
      </c>
      <c r="F162" t="s">
        <v>160</v>
      </c>
      <c r="G162">
        <v>27999</v>
      </c>
      <c r="H162">
        <v>26124</v>
      </c>
      <c r="I162">
        <v>211</v>
      </c>
      <c r="J162">
        <v>15001</v>
      </c>
      <c r="K162">
        <f>Table1[[#This Row],[AsrTot]]-Table1[[#This Row],[BrdTot]]</f>
        <v>1875</v>
      </c>
    </row>
    <row r="163" spans="1:11" x14ac:dyDescent="0.55000000000000004">
      <c r="A163" t="s">
        <v>275</v>
      </c>
      <c r="B163" t="s">
        <v>276</v>
      </c>
      <c r="C163" t="s">
        <v>12</v>
      </c>
      <c r="D163" t="s">
        <v>13</v>
      </c>
      <c r="E163" t="s">
        <v>14</v>
      </c>
      <c r="F163" t="s">
        <v>276</v>
      </c>
      <c r="G163">
        <v>27000</v>
      </c>
      <c r="H163">
        <v>25109</v>
      </c>
      <c r="I163">
        <v>211</v>
      </c>
      <c r="J163">
        <v>15001</v>
      </c>
      <c r="K163">
        <f>Table1[[#This Row],[AsrTot]]-Table1[[#This Row],[BrdTot]]</f>
        <v>1891</v>
      </c>
    </row>
    <row r="164" spans="1:11" x14ac:dyDescent="0.55000000000000004">
      <c r="A164" t="s">
        <v>257</v>
      </c>
      <c r="B164" t="s">
        <v>258</v>
      </c>
      <c r="C164" t="s">
        <v>12</v>
      </c>
      <c r="D164" t="s">
        <v>13</v>
      </c>
      <c r="E164" t="s">
        <v>14</v>
      </c>
      <c r="F164" t="s">
        <v>258</v>
      </c>
      <c r="G164">
        <v>16999</v>
      </c>
      <c r="H164">
        <v>15107</v>
      </c>
      <c r="I164">
        <v>203</v>
      </c>
      <c r="J164">
        <v>15001</v>
      </c>
      <c r="K164">
        <f>Table1[[#This Row],[AsrTot]]-Table1[[#This Row],[BrdTot]]</f>
        <v>1892</v>
      </c>
    </row>
    <row r="165" spans="1:11" x14ac:dyDescent="0.55000000000000004">
      <c r="A165" t="s">
        <v>569</v>
      </c>
      <c r="B165" t="s">
        <v>570</v>
      </c>
      <c r="C165" t="s">
        <v>12</v>
      </c>
      <c r="D165" t="s">
        <v>13</v>
      </c>
      <c r="E165" t="s">
        <v>14</v>
      </c>
      <c r="F165" t="s">
        <v>570</v>
      </c>
      <c r="G165">
        <v>24999</v>
      </c>
      <c r="H165">
        <v>23097</v>
      </c>
      <c r="I165">
        <v>203</v>
      </c>
      <c r="J165">
        <v>15001</v>
      </c>
      <c r="K165">
        <f>Table1[[#This Row],[AsrTot]]-Table1[[#This Row],[BrdTot]]</f>
        <v>1902</v>
      </c>
    </row>
    <row r="166" spans="1:11" x14ac:dyDescent="0.55000000000000004">
      <c r="A166" t="s">
        <v>18</v>
      </c>
      <c r="B166" t="s">
        <v>19</v>
      </c>
      <c r="C166" t="s">
        <v>12</v>
      </c>
      <c r="D166" t="s">
        <v>13</v>
      </c>
      <c r="E166" t="s">
        <v>14</v>
      </c>
      <c r="F166" t="s">
        <v>19</v>
      </c>
      <c r="G166">
        <v>29000</v>
      </c>
      <c r="H166">
        <v>27097</v>
      </c>
      <c r="I166">
        <v>211</v>
      </c>
      <c r="J166">
        <v>15001</v>
      </c>
      <c r="K166">
        <f>Table1[[#This Row],[AsrTot]]-Table1[[#This Row],[BrdTot]]</f>
        <v>1903</v>
      </c>
    </row>
    <row r="167" spans="1:11" x14ac:dyDescent="0.55000000000000004">
      <c r="A167" t="s">
        <v>147</v>
      </c>
      <c r="B167" t="s">
        <v>148</v>
      </c>
      <c r="C167" t="s">
        <v>12</v>
      </c>
      <c r="D167" t="s">
        <v>13</v>
      </c>
      <c r="E167" t="s">
        <v>14</v>
      </c>
      <c r="F167" t="s">
        <v>148</v>
      </c>
      <c r="G167">
        <v>29000</v>
      </c>
      <c r="H167">
        <v>27084</v>
      </c>
      <c r="I167">
        <v>205</v>
      </c>
      <c r="J167">
        <v>15001</v>
      </c>
      <c r="K167">
        <f>Table1[[#This Row],[AsrTot]]-Table1[[#This Row],[BrdTot]]</f>
        <v>1916</v>
      </c>
    </row>
    <row r="168" spans="1:11" x14ac:dyDescent="0.55000000000000004">
      <c r="A168" t="s">
        <v>215</v>
      </c>
      <c r="B168" t="s">
        <v>216</v>
      </c>
      <c r="C168" t="s">
        <v>12</v>
      </c>
      <c r="D168" t="s">
        <v>13</v>
      </c>
      <c r="E168" t="s">
        <v>14</v>
      </c>
      <c r="F168" t="s">
        <v>216</v>
      </c>
      <c r="G168">
        <v>18999</v>
      </c>
      <c r="H168">
        <v>17070</v>
      </c>
      <c r="I168">
        <v>202</v>
      </c>
      <c r="J168">
        <v>15001</v>
      </c>
      <c r="K168">
        <f>Table1[[#This Row],[AsrTot]]-Table1[[#This Row],[BrdTot]]</f>
        <v>1929</v>
      </c>
    </row>
    <row r="169" spans="1:11" x14ac:dyDescent="0.55000000000000004">
      <c r="A169" t="s">
        <v>400</v>
      </c>
      <c r="B169" t="s">
        <v>401</v>
      </c>
      <c r="C169" t="s">
        <v>12</v>
      </c>
      <c r="D169" t="s">
        <v>13</v>
      </c>
      <c r="E169" t="s">
        <v>14</v>
      </c>
      <c r="F169" t="s">
        <v>401</v>
      </c>
      <c r="G169">
        <v>25999</v>
      </c>
      <c r="H169">
        <v>24067</v>
      </c>
      <c r="I169">
        <v>211</v>
      </c>
      <c r="J169">
        <v>15004</v>
      </c>
      <c r="K169">
        <f>Table1[[#This Row],[AsrTot]]-Table1[[#This Row],[BrdTot]]</f>
        <v>1932</v>
      </c>
    </row>
    <row r="170" spans="1:11" x14ac:dyDescent="0.55000000000000004">
      <c r="A170" t="s">
        <v>323</v>
      </c>
      <c r="B170" t="s">
        <v>324</v>
      </c>
      <c r="C170" t="s">
        <v>12</v>
      </c>
      <c r="D170" t="s">
        <v>13</v>
      </c>
      <c r="E170" t="s">
        <v>14</v>
      </c>
      <c r="F170" t="s">
        <v>324</v>
      </c>
      <c r="G170">
        <v>21999</v>
      </c>
      <c r="H170">
        <v>20064</v>
      </c>
      <c r="I170">
        <v>202</v>
      </c>
      <c r="J170">
        <v>15002</v>
      </c>
      <c r="K170">
        <f>Table1[[#This Row],[AsrTot]]-Table1[[#This Row],[BrdTot]]</f>
        <v>1935</v>
      </c>
    </row>
    <row r="171" spans="1:11" x14ac:dyDescent="0.55000000000000004">
      <c r="A171" t="s">
        <v>219</v>
      </c>
      <c r="B171" t="s">
        <v>220</v>
      </c>
      <c r="C171" t="s">
        <v>12</v>
      </c>
      <c r="D171" t="s">
        <v>13</v>
      </c>
      <c r="E171" t="s">
        <v>14</v>
      </c>
      <c r="F171" t="s">
        <v>220</v>
      </c>
      <c r="G171">
        <v>27999</v>
      </c>
      <c r="H171">
        <v>26060</v>
      </c>
      <c r="I171">
        <v>211</v>
      </c>
      <c r="J171">
        <v>15001</v>
      </c>
      <c r="K171">
        <f>Table1[[#This Row],[AsrTot]]-Table1[[#This Row],[BrdTot]]</f>
        <v>1939</v>
      </c>
    </row>
    <row r="172" spans="1:11" x14ac:dyDescent="0.55000000000000004">
      <c r="A172" t="s">
        <v>289</v>
      </c>
      <c r="B172" t="s">
        <v>290</v>
      </c>
      <c r="C172" t="s">
        <v>12</v>
      </c>
      <c r="D172" t="s">
        <v>13</v>
      </c>
      <c r="E172" t="s">
        <v>14</v>
      </c>
      <c r="F172" t="s">
        <v>290</v>
      </c>
      <c r="G172">
        <v>26999</v>
      </c>
      <c r="H172">
        <v>25025</v>
      </c>
      <c r="I172">
        <v>211</v>
      </c>
      <c r="J172">
        <v>15001</v>
      </c>
      <c r="K172">
        <f>Table1[[#This Row],[AsrTot]]-Table1[[#This Row],[BrdTot]]</f>
        <v>1974</v>
      </c>
    </row>
    <row r="173" spans="1:11" x14ac:dyDescent="0.55000000000000004">
      <c r="A173" t="s">
        <v>478</v>
      </c>
      <c r="B173" t="s">
        <v>479</v>
      </c>
      <c r="C173" t="s">
        <v>12</v>
      </c>
      <c r="D173" t="s">
        <v>13</v>
      </c>
      <c r="E173" t="s">
        <v>14</v>
      </c>
      <c r="F173" t="s">
        <v>479</v>
      </c>
      <c r="G173">
        <v>25999</v>
      </c>
      <c r="H173">
        <v>24022</v>
      </c>
      <c r="I173">
        <v>204</v>
      </c>
      <c r="J173">
        <v>15001</v>
      </c>
      <c r="K173">
        <f>Table1[[#This Row],[AsrTot]]-Table1[[#This Row],[BrdTot]]</f>
        <v>1977</v>
      </c>
    </row>
    <row r="174" spans="1:11" x14ac:dyDescent="0.55000000000000004">
      <c r="A174" t="s">
        <v>464</v>
      </c>
      <c r="B174" t="s">
        <v>465</v>
      </c>
      <c r="C174" t="s">
        <v>12</v>
      </c>
      <c r="D174" t="s">
        <v>13</v>
      </c>
      <c r="E174" t="s">
        <v>14</v>
      </c>
      <c r="F174" t="s">
        <v>465</v>
      </c>
      <c r="G174">
        <v>16999</v>
      </c>
      <c r="H174">
        <v>14998</v>
      </c>
      <c r="I174">
        <v>202</v>
      </c>
      <c r="J174">
        <v>15002</v>
      </c>
      <c r="K174">
        <f>Table1[[#This Row],[AsrTot]]-Table1[[#This Row],[BrdTot]]</f>
        <v>2001</v>
      </c>
    </row>
    <row r="175" spans="1:11" x14ac:dyDescent="0.55000000000000004">
      <c r="A175" t="s">
        <v>617</v>
      </c>
      <c r="B175" t="s">
        <v>618</v>
      </c>
      <c r="C175" t="s">
        <v>12</v>
      </c>
      <c r="D175" t="s">
        <v>13</v>
      </c>
      <c r="E175" t="s">
        <v>14</v>
      </c>
      <c r="F175" t="s">
        <v>618</v>
      </c>
      <c r="G175">
        <v>22000</v>
      </c>
      <c r="H175">
        <v>19998</v>
      </c>
      <c r="I175">
        <v>203</v>
      </c>
      <c r="J175">
        <v>11002</v>
      </c>
      <c r="K175">
        <f>Table1[[#This Row],[AsrTot]]-Table1[[#This Row],[BrdTot]]</f>
        <v>2002</v>
      </c>
    </row>
    <row r="176" spans="1:11" x14ac:dyDescent="0.55000000000000004">
      <c r="A176" t="s">
        <v>107</v>
      </c>
      <c r="B176" t="s">
        <v>108</v>
      </c>
      <c r="C176" t="s">
        <v>12</v>
      </c>
      <c r="D176" t="s">
        <v>13</v>
      </c>
      <c r="E176" t="s">
        <v>14</v>
      </c>
      <c r="F176" t="s">
        <v>108</v>
      </c>
      <c r="G176">
        <v>20999</v>
      </c>
      <c r="H176">
        <v>18990</v>
      </c>
      <c r="I176">
        <v>203</v>
      </c>
      <c r="J176">
        <v>15001</v>
      </c>
      <c r="K176">
        <f>Table1[[#This Row],[AsrTot]]-Table1[[#This Row],[BrdTot]]</f>
        <v>2009</v>
      </c>
    </row>
    <row r="177" spans="1:11" x14ac:dyDescent="0.55000000000000004">
      <c r="A177" t="s">
        <v>508</v>
      </c>
      <c r="B177" t="s">
        <v>509</v>
      </c>
      <c r="C177" t="s">
        <v>12</v>
      </c>
      <c r="D177" t="s">
        <v>13</v>
      </c>
      <c r="E177" t="s">
        <v>14</v>
      </c>
      <c r="F177" t="s">
        <v>509</v>
      </c>
      <c r="G177">
        <v>42999</v>
      </c>
      <c r="H177">
        <v>40988</v>
      </c>
      <c r="I177">
        <v>211</v>
      </c>
      <c r="J177">
        <v>15001</v>
      </c>
      <c r="K177">
        <f>Table1[[#This Row],[AsrTot]]-Table1[[#This Row],[BrdTot]]</f>
        <v>2011</v>
      </c>
    </row>
    <row r="178" spans="1:11" x14ac:dyDescent="0.55000000000000004">
      <c r="A178" t="s">
        <v>595</v>
      </c>
      <c r="B178" t="s">
        <v>596</v>
      </c>
      <c r="C178" t="s">
        <v>12</v>
      </c>
      <c r="D178" t="s">
        <v>13</v>
      </c>
      <c r="E178" t="s">
        <v>14</v>
      </c>
      <c r="F178" t="s">
        <v>596</v>
      </c>
      <c r="G178">
        <v>19999</v>
      </c>
      <c r="H178">
        <v>17973</v>
      </c>
      <c r="I178">
        <v>203</v>
      </c>
      <c r="J178">
        <v>15005</v>
      </c>
      <c r="K178">
        <f>Table1[[#This Row],[AsrTot]]-Table1[[#This Row],[BrdTot]]</f>
        <v>2026</v>
      </c>
    </row>
    <row r="179" spans="1:11" x14ac:dyDescent="0.55000000000000004">
      <c r="A179" t="s">
        <v>245</v>
      </c>
      <c r="B179" t="s">
        <v>246</v>
      </c>
      <c r="C179" t="s">
        <v>12</v>
      </c>
      <c r="D179" t="s">
        <v>13</v>
      </c>
      <c r="E179" t="s">
        <v>14</v>
      </c>
      <c r="F179" t="s">
        <v>246</v>
      </c>
      <c r="G179">
        <v>25999</v>
      </c>
      <c r="H179">
        <v>23959</v>
      </c>
      <c r="I179">
        <v>207</v>
      </c>
      <c r="J179">
        <v>15002</v>
      </c>
      <c r="K179">
        <f>Table1[[#This Row],[AsrTot]]-Table1[[#This Row],[BrdTot]]</f>
        <v>2040</v>
      </c>
    </row>
    <row r="180" spans="1:11" x14ac:dyDescent="0.55000000000000004">
      <c r="A180" t="s">
        <v>297</v>
      </c>
      <c r="B180" t="s">
        <v>298</v>
      </c>
      <c r="C180" t="s">
        <v>12</v>
      </c>
      <c r="D180" t="s">
        <v>13</v>
      </c>
      <c r="E180" t="s">
        <v>14</v>
      </c>
      <c r="F180" t="s">
        <v>298</v>
      </c>
      <c r="G180">
        <v>29999</v>
      </c>
      <c r="H180">
        <v>27937</v>
      </c>
      <c r="I180">
        <v>211</v>
      </c>
      <c r="J180">
        <v>15004</v>
      </c>
      <c r="K180">
        <f>Table1[[#This Row],[AsrTot]]-Table1[[#This Row],[BrdTot]]</f>
        <v>2062</v>
      </c>
    </row>
    <row r="181" spans="1:11" x14ac:dyDescent="0.55000000000000004">
      <c r="A181" t="s">
        <v>555</v>
      </c>
      <c r="B181" t="s">
        <v>556</v>
      </c>
      <c r="C181" t="s">
        <v>12</v>
      </c>
      <c r="D181" t="s">
        <v>13</v>
      </c>
      <c r="E181" t="s">
        <v>45</v>
      </c>
      <c r="F181" t="s">
        <v>556</v>
      </c>
      <c r="G181">
        <v>28999</v>
      </c>
      <c r="H181">
        <v>26930</v>
      </c>
      <c r="I181">
        <v>211</v>
      </c>
      <c r="J181">
        <v>15001</v>
      </c>
      <c r="K181">
        <f>Table1[[#This Row],[AsrTot]]-Table1[[#This Row],[BrdTot]]</f>
        <v>2069</v>
      </c>
    </row>
    <row r="182" spans="1:11" x14ac:dyDescent="0.55000000000000004">
      <c r="A182" t="s">
        <v>201</v>
      </c>
      <c r="B182" t="s">
        <v>202</v>
      </c>
      <c r="C182" t="s">
        <v>12</v>
      </c>
      <c r="D182" t="s">
        <v>13</v>
      </c>
      <c r="E182" t="s">
        <v>14</v>
      </c>
      <c r="F182" t="s">
        <v>202</v>
      </c>
      <c r="G182">
        <v>21999</v>
      </c>
      <c r="H182">
        <v>19927</v>
      </c>
      <c r="I182">
        <v>203</v>
      </c>
      <c r="J182">
        <v>15001</v>
      </c>
      <c r="K182">
        <f>Table1[[#This Row],[AsrTot]]-Table1[[#This Row],[BrdTot]]</f>
        <v>2072</v>
      </c>
    </row>
    <row r="183" spans="1:11" x14ac:dyDescent="0.55000000000000004">
      <c r="A183" t="s">
        <v>454</v>
      </c>
      <c r="B183" t="s">
        <v>455</v>
      </c>
      <c r="C183" t="s">
        <v>12</v>
      </c>
      <c r="D183" t="s">
        <v>13</v>
      </c>
      <c r="E183" t="s">
        <v>14</v>
      </c>
      <c r="F183" t="s">
        <v>455</v>
      </c>
      <c r="G183">
        <v>21999</v>
      </c>
      <c r="H183">
        <v>19921</v>
      </c>
      <c r="I183">
        <v>203</v>
      </c>
      <c r="J183">
        <v>15001</v>
      </c>
      <c r="K183">
        <f>Table1[[#This Row],[AsrTot]]-Table1[[#This Row],[BrdTot]]</f>
        <v>2078</v>
      </c>
    </row>
    <row r="184" spans="1:11" x14ac:dyDescent="0.55000000000000004">
      <c r="A184" t="s">
        <v>380</v>
      </c>
      <c r="B184" t="s">
        <v>381</v>
      </c>
      <c r="C184" t="s">
        <v>12</v>
      </c>
      <c r="D184" t="s">
        <v>13</v>
      </c>
      <c r="E184" t="s">
        <v>14</v>
      </c>
      <c r="F184" t="s">
        <v>381</v>
      </c>
      <c r="G184">
        <v>26000</v>
      </c>
      <c r="H184">
        <v>23909</v>
      </c>
      <c r="I184">
        <v>211</v>
      </c>
      <c r="J184">
        <v>15001</v>
      </c>
      <c r="K184">
        <f>Table1[[#This Row],[AsrTot]]-Table1[[#This Row],[BrdTot]]</f>
        <v>2091</v>
      </c>
    </row>
    <row r="185" spans="1:11" x14ac:dyDescent="0.55000000000000004">
      <c r="A185" t="s">
        <v>613</v>
      </c>
      <c r="B185" t="s">
        <v>614</v>
      </c>
      <c r="C185" t="s">
        <v>12</v>
      </c>
      <c r="D185" t="s">
        <v>13</v>
      </c>
      <c r="E185" t="s">
        <v>14</v>
      </c>
      <c r="F185" t="s">
        <v>614</v>
      </c>
      <c r="G185">
        <v>23999</v>
      </c>
      <c r="H185">
        <v>21902</v>
      </c>
      <c r="I185">
        <v>204</v>
      </c>
      <c r="J185">
        <v>15001</v>
      </c>
      <c r="K185">
        <f>Table1[[#This Row],[AsrTot]]-Table1[[#This Row],[BrdTot]]</f>
        <v>2097</v>
      </c>
    </row>
    <row r="186" spans="1:11" x14ac:dyDescent="0.55000000000000004">
      <c r="A186" t="s">
        <v>365</v>
      </c>
      <c r="B186" t="s">
        <v>366</v>
      </c>
      <c r="C186" t="s">
        <v>12</v>
      </c>
      <c r="D186" t="s">
        <v>13</v>
      </c>
      <c r="E186" t="s">
        <v>14</v>
      </c>
      <c r="F186" t="s">
        <v>366</v>
      </c>
      <c r="G186">
        <v>25999</v>
      </c>
      <c r="H186">
        <v>23900</v>
      </c>
      <c r="I186">
        <v>211</v>
      </c>
      <c r="J186">
        <v>15001</v>
      </c>
      <c r="K186">
        <f>Table1[[#This Row],[AsrTot]]-Table1[[#This Row],[BrdTot]]</f>
        <v>2099</v>
      </c>
    </row>
    <row r="187" spans="1:11" x14ac:dyDescent="0.55000000000000004">
      <c r="A187" t="s">
        <v>514</v>
      </c>
      <c r="B187" t="s">
        <v>515</v>
      </c>
      <c r="C187" t="s">
        <v>12</v>
      </c>
      <c r="D187" t="s">
        <v>13</v>
      </c>
      <c r="E187" t="s">
        <v>14</v>
      </c>
      <c r="F187" t="s">
        <v>515</v>
      </c>
      <c r="G187">
        <v>18901</v>
      </c>
      <c r="H187">
        <v>16798</v>
      </c>
      <c r="I187">
        <v>202</v>
      </c>
      <c r="J187">
        <v>11002</v>
      </c>
      <c r="K187">
        <f>Table1[[#This Row],[AsrTot]]-Table1[[#This Row],[BrdTot]]</f>
        <v>2103</v>
      </c>
    </row>
    <row r="188" spans="1:11" x14ac:dyDescent="0.55000000000000004">
      <c r="A188" t="s">
        <v>277</v>
      </c>
      <c r="B188" t="s">
        <v>278</v>
      </c>
      <c r="C188" t="s">
        <v>12</v>
      </c>
      <c r="D188" t="s">
        <v>13</v>
      </c>
      <c r="E188" t="s">
        <v>14</v>
      </c>
      <c r="F188" t="s">
        <v>278</v>
      </c>
      <c r="G188">
        <v>26999</v>
      </c>
      <c r="H188">
        <v>24880</v>
      </c>
      <c r="I188">
        <v>211</v>
      </c>
      <c r="J188">
        <v>15001</v>
      </c>
      <c r="K188">
        <f>Table1[[#This Row],[AsrTot]]-Table1[[#This Row],[BrdTot]]</f>
        <v>2119</v>
      </c>
    </row>
    <row r="189" spans="1:11" x14ac:dyDescent="0.55000000000000004">
      <c r="A189" t="s">
        <v>333</v>
      </c>
      <c r="B189" t="s">
        <v>334</v>
      </c>
      <c r="C189" t="s">
        <v>12</v>
      </c>
      <c r="D189" t="s">
        <v>13</v>
      </c>
      <c r="E189" t="s">
        <v>14</v>
      </c>
      <c r="F189" t="s">
        <v>334</v>
      </c>
      <c r="G189">
        <v>23999</v>
      </c>
      <c r="H189">
        <v>21848</v>
      </c>
      <c r="I189">
        <v>204</v>
      </c>
      <c r="J189">
        <v>15001</v>
      </c>
      <c r="K189">
        <f>Table1[[#This Row],[AsrTot]]-Table1[[#This Row],[BrdTot]]</f>
        <v>2151</v>
      </c>
    </row>
    <row r="190" spans="1:11" x14ac:dyDescent="0.55000000000000004">
      <c r="A190" t="s">
        <v>367</v>
      </c>
      <c r="B190" t="s">
        <v>368</v>
      </c>
      <c r="C190" t="s">
        <v>12</v>
      </c>
      <c r="D190" t="s">
        <v>13</v>
      </c>
      <c r="E190" t="s">
        <v>14</v>
      </c>
      <c r="F190" t="s">
        <v>368</v>
      </c>
      <c r="G190">
        <v>22999</v>
      </c>
      <c r="H190">
        <v>20837</v>
      </c>
      <c r="I190">
        <v>202</v>
      </c>
      <c r="J190">
        <v>15002</v>
      </c>
      <c r="K190">
        <f>Table1[[#This Row],[AsrTot]]-Table1[[#This Row],[BrdTot]]</f>
        <v>2162</v>
      </c>
    </row>
    <row r="191" spans="1:11" x14ac:dyDescent="0.55000000000000004">
      <c r="A191" t="s">
        <v>563</v>
      </c>
      <c r="B191" t="s">
        <v>564</v>
      </c>
      <c r="C191" t="s">
        <v>12</v>
      </c>
      <c r="D191" t="s">
        <v>13</v>
      </c>
      <c r="E191" t="s">
        <v>14</v>
      </c>
      <c r="F191" t="s">
        <v>564</v>
      </c>
      <c r="G191">
        <v>21999</v>
      </c>
      <c r="H191">
        <v>19831</v>
      </c>
      <c r="I191">
        <v>203</v>
      </c>
      <c r="J191">
        <v>15001</v>
      </c>
      <c r="K191">
        <f>Table1[[#This Row],[AsrTot]]-Table1[[#This Row],[BrdTot]]</f>
        <v>2168</v>
      </c>
    </row>
    <row r="192" spans="1:11" x14ac:dyDescent="0.55000000000000004">
      <c r="A192" t="s">
        <v>369</v>
      </c>
      <c r="B192" t="s">
        <v>370</v>
      </c>
      <c r="C192" t="s">
        <v>12</v>
      </c>
      <c r="D192" t="s">
        <v>13</v>
      </c>
      <c r="E192" t="s">
        <v>14</v>
      </c>
      <c r="F192" t="s">
        <v>370</v>
      </c>
      <c r="G192">
        <v>21999</v>
      </c>
      <c r="H192">
        <v>19813</v>
      </c>
      <c r="I192">
        <v>203</v>
      </c>
      <c r="J192">
        <v>15001</v>
      </c>
      <c r="K192">
        <f>Table1[[#This Row],[AsrTot]]-Table1[[#This Row],[BrdTot]]</f>
        <v>2186</v>
      </c>
    </row>
    <row r="193" spans="1:11" x14ac:dyDescent="0.55000000000000004">
      <c r="A193" t="s">
        <v>593</v>
      </c>
      <c r="B193" t="s">
        <v>594</v>
      </c>
      <c r="C193" t="s">
        <v>12</v>
      </c>
      <c r="D193" t="s">
        <v>13</v>
      </c>
      <c r="E193" t="s">
        <v>14</v>
      </c>
      <c r="F193" t="s">
        <v>594</v>
      </c>
      <c r="G193">
        <v>16999</v>
      </c>
      <c r="H193">
        <v>14809</v>
      </c>
      <c r="I193">
        <v>202</v>
      </c>
      <c r="J193">
        <v>15001</v>
      </c>
      <c r="K193">
        <f>Table1[[#This Row],[AsrTot]]-Table1[[#This Row],[BrdTot]]</f>
        <v>2190</v>
      </c>
    </row>
    <row r="194" spans="1:11" x14ac:dyDescent="0.55000000000000004">
      <c r="A194" t="s">
        <v>149</v>
      </c>
      <c r="B194" t="s">
        <v>150</v>
      </c>
      <c r="C194" t="s">
        <v>12</v>
      </c>
      <c r="D194" t="s">
        <v>13</v>
      </c>
      <c r="E194" t="s">
        <v>14</v>
      </c>
      <c r="F194" t="s">
        <v>150</v>
      </c>
      <c r="G194">
        <v>22999</v>
      </c>
      <c r="H194">
        <v>20781</v>
      </c>
      <c r="I194">
        <v>203</v>
      </c>
      <c r="J194">
        <v>11001</v>
      </c>
      <c r="K194">
        <f>Table1[[#This Row],[AsrTot]]-Table1[[#This Row],[BrdTot]]</f>
        <v>2218</v>
      </c>
    </row>
    <row r="195" spans="1:11" x14ac:dyDescent="0.55000000000000004">
      <c r="A195" t="s">
        <v>27</v>
      </c>
      <c r="B195" t="s">
        <v>28</v>
      </c>
      <c r="C195" t="s">
        <v>12</v>
      </c>
      <c r="D195" t="s">
        <v>13</v>
      </c>
      <c r="E195" t="s">
        <v>14</v>
      </c>
      <c r="F195" t="s">
        <v>28</v>
      </c>
      <c r="G195">
        <v>24999</v>
      </c>
      <c r="H195">
        <v>22778</v>
      </c>
      <c r="I195">
        <v>203</v>
      </c>
      <c r="J195">
        <v>11002</v>
      </c>
      <c r="K195">
        <f>Table1[[#This Row],[AsrTot]]-Table1[[#This Row],[BrdTot]]</f>
        <v>2221</v>
      </c>
    </row>
    <row r="196" spans="1:11" x14ac:dyDescent="0.55000000000000004">
      <c r="A196" t="s">
        <v>91</v>
      </c>
      <c r="B196" t="s">
        <v>92</v>
      </c>
      <c r="C196" t="s">
        <v>12</v>
      </c>
      <c r="D196" t="s">
        <v>13</v>
      </c>
      <c r="E196" t="s">
        <v>14</v>
      </c>
      <c r="F196" t="s">
        <v>92</v>
      </c>
      <c r="G196">
        <v>32999</v>
      </c>
      <c r="H196">
        <v>30769</v>
      </c>
      <c r="I196">
        <v>204</v>
      </c>
      <c r="J196">
        <v>11002</v>
      </c>
      <c r="K196">
        <f>Table1[[#This Row],[AsrTot]]-Table1[[#This Row],[BrdTot]]</f>
        <v>2230</v>
      </c>
    </row>
    <row r="197" spans="1:11" x14ac:dyDescent="0.55000000000000004">
      <c r="A197" t="s">
        <v>442</v>
      </c>
      <c r="B197" t="s">
        <v>443</v>
      </c>
      <c r="C197" t="s">
        <v>12</v>
      </c>
      <c r="D197" t="s">
        <v>13</v>
      </c>
      <c r="E197" t="s">
        <v>14</v>
      </c>
      <c r="F197" t="s">
        <v>443</v>
      </c>
      <c r="G197">
        <v>20999</v>
      </c>
      <c r="H197">
        <v>18718</v>
      </c>
      <c r="I197">
        <v>202</v>
      </c>
      <c r="J197">
        <v>11002</v>
      </c>
      <c r="K197">
        <f>Table1[[#This Row],[AsrTot]]-Table1[[#This Row],[BrdTot]]</f>
        <v>2281</v>
      </c>
    </row>
    <row r="198" spans="1:11" x14ac:dyDescent="0.55000000000000004">
      <c r="A198" t="s">
        <v>536</v>
      </c>
      <c r="B198" t="s">
        <v>537</v>
      </c>
      <c r="C198" t="s">
        <v>12</v>
      </c>
      <c r="D198" t="s">
        <v>13</v>
      </c>
      <c r="E198" t="s">
        <v>14</v>
      </c>
      <c r="F198" t="s">
        <v>537</v>
      </c>
      <c r="G198">
        <v>25923</v>
      </c>
      <c r="H198">
        <v>23641</v>
      </c>
      <c r="I198">
        <v>211</v>
      </c>
      <c r="J198">
        <v>15001</v>
      </c>
      <c r="K198">
        <f>Table1[[#This Row],[AsrTot]]-Table1[[#This Row],[BrdTot]]</f>
        <v>2282</v>
      </c>
    </row>
    <row r="199" spans="1:11" x14ac:dyDescent="0.55000000000000004">
      <c r="A199" t="s">
        <v>189</v>
      </c>
      <c r="B199" t="s">
        <v>190</v>
      </c>
      <c r="C199" t="s">
        <v>12</v>
      </c>
      <c r="D199" t="s">
        <v>13</v>
      </c>
      <c r="E199" t="s">
        <v>14</v>
      </c>
      <c r="F199" t="s">
        <v>190</v>
      </c>
      <c r="G199">
        <v>24999</v>
      </c>
      <c r="H199">
        <v>22712</v>
      </c>
      <c r="I199">
        <v>211</v>
      </c>
      <c r="J199">
        <v>15001</v>
      </c>
      <c r="K199">
        <f>Table1[[#This Row],[AsrTot]]-Table1[[#This Row],[BrdTot]]</f>
        <v>2287</v>
      </c>
    </row>
    <row r="200" spans="1:11" x14ac:dyDescent="0.55000000000000004">
      <c r="A200" t="s">
        <v>359</v>
      </c>
      <c r="B200" t="s">
        <v>360</v>
      </c>
      <c r="C200" t="s">
        <v>12</v>
      </c>
      <c r="D200" t="s">
        <v>13</v>
      </c>
      <c r="E200" t="s">
        <v>14</v>
      </c>
      <c r="F200" t="s">
        <v>360</v>
      </c>
      <c r="G200">
        <v>21999</v>
      </c>
      <c r="H200">
        <v>19711</v>
      </c>
      <c r="I200">
        <v>211</v>
      </c>
      <c r="J200">
        <v>15001</v>
      </c>
      <c r="K200">
        <f>Table1[[#This Row],[AsrTot]]-Table1[[#This Row],[BrdTot]]</f>
        <v>2288</v>
      </c>
    </row>
    <row r="201" spans="1:11" x14ac:dyDescent="0.55000000000000004">
      <c r="A201" t="s">
        <v>52</v>
      </c>
      <c r="B201" t="s">
        <v>53</v>
      </c>
      <c r="C201" t="s">
        <v>12</v>
      </c>
      <c r="D201" t="s">
        <v>13</v>
      </c>
      <c r="E201" t="s">
        <v>14</v>
      </c>
      <c r="F201" t="s">
        <v>53</v>
      </c>
      <c r="G201">
        <v>27258</v>
      </c>
      <c r="H201">
        <v>24969</v>
      </c>
      <c r="I201">
        <v>211</v>
      </c>
      <c r="J201">
        <v>11001</v>
      </c>
      <c r="K201">
        <f>Table1[[#This Row],[AsrTot]]-Table1[[#This Row],[BrdTot]]</f>
        <v>2289</v>
      </c>
    </row>
    <row r="202" spans="1:11" x14ac:dyDescent="0.55000000000000004">
      <c r="A202" t="s">
        <v>426</v>
      </c>
      <c r="B202" t="s">
        <v>427</v>
      </c>
      <c r="C202" t="s">
        <v>12</v>
      </c>
      <c r="D202" t="s">
        <v>13</v>
      </c>
      <c r="E202" t="s">
        <v>14</v>
      </c>
      <c r="F202" t="s">
        <v>427</v>
      </c>
      <c r="G202">
        <v>21299</v>
      </c>
      <c r="H202">
        <v>19004</v>
      </c>
      <c r="I202">
        <v>205</v>
      </c>
      <c r="J202">
        <v>15001</v>
      </c>
      <c r="K202">
        <f>Table1[[#This Row],[AsrTot]]-Table1[[#This Row],[BrdTot]]</f>
        <v>2295</v>
      </c>
    </row>
    <row r="203" spans="1:11" x14ac:dyDescent="0.55000000000000004">
      <c r="A203" t="s">
        <v>239</v>
      </c>
      <c r="B203" t="s">
        <v>240</v>
      </c>
      <c r="C203" t="s">
        <v>12</v>
      </c>
      <c r="D203" t="s">
        <v>13</v>
      </c>
      <c r="E203" t="s">
        <v>14</v>
      </c>
      <c r="F203" t="s">
        <v>240</v>
      </c>
      <c r="G203">
        <v>22999</v>
      </c>
      <c r="H203">
        <v>20702</v>
      </c>
      <c r="I203">
        <v>211</v>
      </c>
      <c r="J203">
        <v>15001</v>
      </c>
      <c r="K203">
        <f>Table1[[#This Row],[AsrTot]]-Table1[[#This Row],[BrdTot]]</f>
        <v>2297</v>
      </c>
    </row>
    <row r="204" spans="1:11" x14ac:dyDescent="0.55000000000000004">
      <c r="A204" t="s">
        <v>382</v>
      </c>
      <c r="B204" t="s">
        <v>383</v>
      </c>
      <c r="C204" t="s">
        <v>12</v>
      </c>
      <c r="D204" t="s">
        <v>13</v>
      </c>
      <c r="E204" t="s">
        <v>14</v>
      </c>
      <c r="F204" t="s">
        <v>383</v>
      </c>
      <c r="G204">
        <v>31000</v>
      </c>
      <c r="H204">
        <v>28690</v>
      </c>
      <c r="I204">
        <v>211</v>
      </c>
      <c r="J204">
        <v>15001</v>
      </c>
      <c r="K204">
        <f>Table1[[#This Row],[AsrTot]]-Table1[[#This Row],[BrdTot]]</f>
        <v>2310</v>
      </c>
    </row>
    <row r="205" spans="1:11" x14ac:dyDescent="0.55000000000000004">
      <c r="A205" t="s">
        <v>135</v>
      </c>
      <c r="B205" t="s">
        <v>136</v>
      </c>
      <c r="C205" t="s">
        <v>12</v>
      </c>
      <c r="D205" t="s">
        <v>13</v>
      </c>
      <c r="E205" t="s">
        <v>14</v>
      </c>
      <c r="F205" t="s">
        <v>136</v>
      </c>
      <c r="G205">
        <v>26999</v>
      </c>
      <c r="H205">
        <v>24687</v>
      </c>
      <c r="I205">
        <v>205</v>
      </c>
      <c r="J205">
        <v>15001</v>
      </c>
      <c r="K205">
        <f>Table1[[#This Row],[AsrTot]]-Table1[[#This Row],[BrdTot]]</f>
        <v>2312</v>
      </c>
    </row>
    <row r="206" spans="1:11" x14ac:dyDescent="0.55000000000000004">
      <c r="A206" t="s">
        <v>35</v>
      </c>
      <c r="B206" t="s">
        <v>36</v>
      </c>
      <c r="C206" t="s">
        <v>12</v>
      </c>
      <c r="D206" t="s">
        <v>13</v>
      </c>
      <c r="E206" t="s">
        <v>14</v>
      </c>
      <c r="F206" t="s">
        <v>36</v>
      </c>
      <c r="G206">
        <v>25999</v>
      </c>
      <c r="H206">
        <v>23680</v>
      </c>
      <c r="I206">
        <v>204</v>
      </c>
      <c r="J206">
        <v>15001</v>
      </c>
      <c r="K206">
        <f>Table1[[#This Row],[AsrTot]]-Table1[[#This Row],[BrdTot]]</f>
        <v>2319</v>
      </c>
    </row>
    <row r="207" spans="1:11" x14ac:dyDescent="0.55000000000000004">
      <c r="A207" t="s">
        <v>175</v>
      </c>
      <c r="B207" t="s">
        <v>176</v>
      </c>
      <c r="C207" t="s">
        <v>12</v>
      </c>
      <c r="D207" t="s">
        <v>13</v>
      </c>
      <c r="E207" t="s">
        <v>14</v>
      </c>
      <c r="F207" t="s">
        <v>176</v>
      </c>
      <c r="G207">
        <v>26999</v>
      </c>
      <c r="H207">
        <v>24669</v>
      </c>
      <c r="I207">
        <v>203</v>
      </c>
      <c r="J207">
        <v>11002</v>
      </c>
      <c r="K207">
        <f>Table1[[#This Row],[AsrTot]]-Table1[[#This Row],[BrdTot]]</f>
        <v>2330</v>
      </c>
    </row>
    <row r="208" spans="1:11" x14ac:dyDescent="0.55000000000000004">
      <c r="A208" t="s">
        <v>581</v>
      </c>
      <c r="B208" t="s">
        <v>582</v>
      </c>
      <c r="C208" t="s">
        <v>12</v>
      </c>
      <c r="D208" t="s">
        <v>13</v>
      </c>
      <c r="E208" t="s">
        <v>14</v>
      </c>
      <c r="F208" t="s">
        <v>582</v>
      </c>
      <c r="G208">
        <v>25999</v>
      </c>
      <c r="H208">
        <v>23668</v>
      </c>
      <c r="I208">
        <v>211</v>
      </c>
      <c r="J208">
        <v>15001</v>
      </c>
      <c r="K208">
        <f>Table1[[#This Row],[AsrTot]]-Table1[[#This Row],[BrdTot]]</f>
        <v>2331</v>
      </c>
    </row>
    <row r="209" spans="1:11" x14ac:dyDescent="0.55000000000000004">
      <c r="A209" t="s">
        <v>404</v>
      </c>
      <c r="B209" t="s">
        <v>405</v>
      </c>
      <c r="C209" t="s">
        <v>12</v>
      </c>
      <c r="D209" t="s">
        <v>13</v>
      </c>
      <c r="E209" t="s">
        <v>14</v>
      </c>
      <c r="F209" t="s">
        <v>405</v>
      </c>
      <c r="G209">
        <v>18350</v>
      </c>
      <c r="H209">
        <v>16014</v>
      </c>
      <c r="I209">
        <v>203</v>
      </c>
      <c r="J209">
        <v>15001</v>
      </c>
      <c r="K209">
        <f>Table1[[#This Row],[AsrTot]]-Table1[[#This Row],[BrdTot]]</f>
        <v>2336</v>
      </c>
    </row>
    <row r="210" spans="1:11" x14ac:dyDescent="0.55000000000000004">
      <c r="A210" t="s">
        <v>611</v>
      </c>
      <c r="B210" t="s">
        <v>612</v>
      </c>
      <c r="C210" t="s">
        <v>12</v>
      </c>
      <c r="D210" t="s">
        <v>13</v>
      </c>
      <c r="E210" t="s">
        <v>14</v>
      </c>
      <c r="F210" t="s">
        <v>612</v>
      </c>
      <c r="G210">
        <v>20999</v>
      </c>
      <c r="H210">
        <v>18659</v>
      </c>
      <c r="I210">
        <v>203</v>
      </c>
      <c r="J210">
        <v>15001</v>
      </c>
      <c r="K210">
        <f>Table1[[#This Row],[AsrTot]]-Table1[[#This Row],[BrdTot]]</f>
        <v>2340</v>
      </c>
    </row>
    <row r="211" spans="1:11" x14ac:dyDescent="0.55000000000000004">
      <c r="A211" t="s">
        <v>591</v>
      </c>
      <c r="B211" t="s">
        <v>592</v>
      </c>
      <c r="C211" t="s">
        <v>12</v>
      </c>
      <c r="D211" t="s">
        <v>13</v>
      </c>
      <c r="E211" t="s">
        <v>14</v>
      </c>
      <c r="F211" t="s">
        <v>592</v>
      </c>
      <c r="G211">
        <v>22999</v>
      </c>
      <c r="H211">
        <v>20647</v>
      </c>
      <c r="I211">
        <v>204</v>
      </c>
      <c r="J211">
        <v>15001</v>
      </c>
      <c r="K211">
        <f>Table1[[#This Row],[AsrTot]]-Table1[[#This Row],[BrdTot]]</f>
        <v>2352</v>
      </c>
    </row>
    <row r="212" spans="1:11" x14ac:dyDescent="0.55000000000000004">
      <c r="A212" t="s">
        <v>117</v>
      </c>
      <c r="B212" t="s">
        <v>118</v>
      </c>
      <c r="C212" t="s">
        <v>12</v>
      </c>
      <c r="D212" t="s">
        <v>13</v>
      </c>
      <c r="E212" t="s">
        <v>14</v>
      </c>
      <c r="F212" t="s">
        <v>118</v>
      </c>
      <c r="G212">
        <v>31999</v>
      </c>
      <c r="H212">
        <v>29642</v>
      </c>
      <c r="I212">
        <v>211</v>
      </c>
      <c r="J212">
        <v>15001</v>
      </c>
      <c r="K212">
        <f>Table1[[#This Row],[AsrTot]]-Table1[[#This Row],[BrdTot]]</f>
        <v>2357</v>
      </c>
    </row>
    <row r="213" spans="1:11" x14ac:dyDescent="0.55000000000000004">
      <c r="A213" t="s">
        <v>589</v>
      </c>
      <c r="B213" t="s">
        <v>590</v>
      </c>
      <c r="C213" t="s">
        <v>12</v>
      </c>
      <c r="D213" t="s">
        <v>13</v>
      </c>
      <c r="E213" t="s">
        <v>14</v>
      </c>
      <c r="F213" t="s">
        <v>590</v>
      </c>
      <c r="G213">
        <v>21999</v>
      </c>
      <c r="H213">
        <v>19634</v>
      </c>
      <c r="I213">
        <v>205</v>
      </c>
      <c r="J213">
        <v>15001</v>
      </c>
      <c r="K213">
        <f>Table1[[#This Row],[AsrTot]]-Table1[[#This Row],[BrdTot]]</f>
        <v>2365</v>
      </c>
    </row>
    <row r="214" spans="1:11" x14ac:dyDescent="0.55000000000000004">
      <c r="A214" t="s">
        <v>187</v>
      </c>
      <c r="B214" t="s">
        <v>188</v>
      </c>
      <c r="C214" t="s">
        <v>12</v>
      </c>
      <c r="D214" t="s">
        <v>13</v>
      </c>
      <c r="E214" t="s">
        <v>14</v>
      </c>
      <c r="F214" t="s">
        <v>188</v>
      </c>
      <c r="G214">
        <v>24999</v>
      </c>
      <c r="H214">
        <v>22601</v>
      </c>
      <c r="I214">
        <v>211</v>
      </c>
      <c r="J214">
        <v>15001</v>
      </c>
      <c r="K214">
        <f>Table1[[#This Row],[AsrTot]]-Table1[[#This Row],[BrdTot]]</f>
        <v>2398</v>
      </c>
    </row>
    <row r="215" spans="1:11" x14ac:dyDescent="0.55000000000000004">
      <c r="A215" t="s">
        <v>141</v>
      </c>
      <c r="B215" t="s">
        <v>142</v>
      </c>
      <c r="C215" t="s">
        <v>12</v>
      </c>
      <c r="D215" t="s">
        <v>13</v>
      </c>
      <c r="E215" t="s">
        <v>14</v>
      </c>
      <c r="F215" t="s">
        <v>142</v>
      </c>
      <c r="G215">
        <v>19999</v>
      </c>
      <c r="H215">
        <v>17593</v>
      </c>
      <c r="I215">
        <v>203</v>
      </c>
      <c r="J215">
        <v>15001</v>
      </c>
      <c r="K215">
        <f>Table1[[#This Row],[AsrTot]]-Table1[[#This Row],[BrdTot]]</f>
        <v>2406</v>
      </c>
    </row>
    <row r="216" spans="1:11" x14ac:dyDescent="0.55000000000000004">
      <c r="A216" t="s">
        <v>183</v>
      </c>
      <c r="B216" t="s">
        <v>184</v>
      </c>
      <c r="C216" t="s">
        <v>12</v>
      </c>
      <c r="D216" t="s">
        <v>13</v>
      </c>
      <c r="E216" t="s">
        <v>14</v>
      </c>
      <c r="F216" t="s">
        <v>184</v>
      </c>
      <c r="G216">
        <v>28999</v>
      </c>
      <c r="H216">
        <v>26592</v>
      </c>
      <c r="I216">
        <v>211</v>
      </c>
      <c r="J216">
        <v>15004</v>
      </c>
      <c r="K216">
        <f>Table1[[#This Row],[AsrTot]]-Table1[[#This Row],[BrdTot]]</f>
        <v>2407</v>
      </c>
    </row>
    <row r="217" spans="1:11" x14ac:dyDescent="0.55000000000000004">
      <c r="A217" t="s">
        <v>492</v>
      </c>
      <c r="B217" t="s">
        <v>493</v>
      </c>
      <c r="C217" t="s">
        <v>12</v>
      </c>
      <c r="D217" t="s">
        <v>13</v>
      </c>
      <c r="E217" t="s">
        <v>14</v>
      </c>
      <c r="F217" t="s">
        <v>493</v>
      </c>
      <c r="G217">
        <v>22999</v>
      </c>
      <c r="H217">
        <v>20578</v>
      </c>
      <c r="I217">
        <v>211</v>
      </c>
      <c r="J217">
        <v>15001</v>
      </c>
      <c r="K217">
        <f>Table1[[#This Row],[AsrTot]]-Table1[[#This Row],[BrdTot]]</f>
        <v>2421</v>
      </c>
    </row>
    <row r="218" spans="1:11" x14ac:dyDescent="0.55000000000000004">
      <c r="A218" t="s">
        <v>609</v>
      </c>
      <c r="B218" t="s">
        <v>610</v>
      </c>
      <c r="C218" t="s">
        <v>12</v>
      </c>
      <c r="D218" t="s">
        <v>13</v>
      </c>
      <c r="E218" t="s">
        <v>14</v>
      </c>
      <c r="F218" t="s">
        <v>610</v>
      </c>
      <c r="G218">
        <v>24638</v>
      </c>
      <c r="H218">
        <v>22215</v>
      </c>
      <c r="I218">
        <v>203</v>
      </c>
      <c r="J218">
        <v>11002</v>
      </c>
      <c r="K218">
        <f>Table1[[#This Row],[AsrTot]]-Table1[[#This Row],[BrdTot]]</f>
        <v>2423</v>
      </c>
    </row>
    <row r="219" spans="1:11" x14ac:dyDescent="0.55000000000000004">
      <c r="A219" t="s">
        <v>237</v>
      </c>
      <c r="B219" t="s">
        <v>238</v>
      </c>
      <c r="C219" t="s">
        <v>12</v>
      </c>
      <c r="D219" t="s">
        <v>13</v>
      </c>
      <c r="E219" t="s">
        <v>14</v>
      </c>
      <c r="F219" t="s">
        <v>238</v>
      </c>
      <c r="G219">
        <v>15999</v>
      </c>
      <c r="H219">
        <v>13532</v>
      </c>
      <c r="I219">
        <v>202</v>
      </c>
      <c r="J219">
        <v>15001</v>
      </c>
      <c r="K219">
        <f>Table1[[#This Row],[AsrTot]]-Table1[[#This Row],[BrdTot]]</f>
        <v>2467</v>
      </c>
    </row>
    <row r="220" spans="1:11" x14ac:dyDescent="0.55000000000000004">
      <c r="A220" t="s">
        <v>408</v>
      </c>
      <c r="B220" t="s">
        <v>409</v>
      </c>
      <c r="C220" t="s">
        <v>12</v>
      </c>
      <c r="D220" t="s">
        <v>13</v>
      </c>
      <c r="E220" t="s">
        <v>14</v>
      </c>
      <c r="F220" t="s">
        <v>409</v>
      </c>
      <c r="G220">
        <v>24000</v>
      </c>
      <c r="H220">
        <v>21528</v>
      </c>
      <c r="I220">
        <v>203</v>
      </c>
      <c r="J220">
        <v>15004</v>
      </c>
      <c r="K220">
        <f>Table1[[#This Row],[AsrTot]]-Table1[[#This Row],[BrdTot]]</f>
        <v>2472</v>
      </c>
    </row>
    <row r="221" spans="1:11" x14ac:dyDescent="0.55000000000000004">
      <c r="A221" t="s">
        <v>169</v>
      </c>
      <c r="B221" t="s">
        <v>170</v>
      </c>
      <c r="C221" t="s">
        <v>12</v>
      </c>
      <c r="D221" t="s">
        <v>13</v>
      </c>
      <c r="E221" t="s">
        <v>14</v>
      </c>
      <c r="F221" t="s">
        <v>170</v>
      </c>
      <c r="G221">
        <v>22999</v>
      </c>
      <c r="H221">
        <v>20511</v>
      </c>
      <c r="I221">
        <v>203</v>
      </c>
      <c r="J221">
        <v>15001</v>
      </c>
      <c r="K221">
        <f>Table1[[#This Row],[AsrTot]]-Table1[[#This Row],[BrdTot]]</f>
        <v>2488</v>
      </c>
    </row>
    <row r="222" spans="1:11" x14ac:dyDescent="0.55000000000000004">
      <c r="A222" t="s">
        <v>438</v>
      </c>
      <c r="B222" t="s">
        <v>439</v>
      </c>
      <c r="C222" t="s">
        <v>12</v>
      </c>
      <c r="D222" t="s">
        <v>13</v>
      </c>
      <c r="E222" t="s">
        <v>14</v>
      </c>
      <c r="F222" t="s">
        <v>439</v>
      </c>
      <c r="G222">
        <v>30000</v>
      </c>
      <c r="H222">
        <v>27503</v>
      </c>
      <c r="I222">
        <v>211</v>
      </c>
      <c r="J222">
        <v>15001</v>
      </c>
      <c r="K222">
        <f>Table1[[#This Row],[AsrTot]]-Table1[[#This Row],[BrdTot]]</f>
        <v>2497</v>
      </c>
    </row>
    <row r="223" spans="1:11" x14ac:dyDescent="0.55000000000000004">
      <c r="A223" t="s">
        <v>243</v>
      </c>
      <c r="B223" t="s">
        <v>244</v>
      </c>
      <c r="C223" t="s">
        <v>12</v>
      </c>
      <c r="D223" t="s">
        <v>13</v>
      </c>
      <c r="E223" t="s">
        <v>14</v>
      </c>
      <c r="F223" t="s">
        <v>244</v>
      </c>
      <c r="G223">
        <v>24999</v>
      </c>
      <c r="H223">
        <v>22460</v>
      </c>
      <c r="I223">
        <v>203</v>
      </c>
      <c r="J223">
        <v>15001</v>
      </c>
      <c r="K223">
        <f>Table1[[#This Row],[AsrTot]]-Table1[[#This Row],[BrdTot]]</f>
        <v>2539</v>
      </c>
    </row>
    <row r="224" spans="1:11" x14ac:dyDescent="0.55000000000000004">
      <c r="A224" t="s">
        <v>444</v>
      </c>
      <c r="B224" t="s">
        <v>445</v>
      </c>
      <c r="C224" t="s">
        <v>12</v>
      </c>
      <c r="D224" t="s">
        <v>13</v>
      </c>
      <c r="E224" t="s">
        <v>14</v>
      </c>
      <c r="F224" t="s">
        <v>445</v>
      </c>
      <c r="G224">
        <v>26999</v>
      </c>
      <c r="H224">
        <v>24458</v>
      </c>
      <c r="I224">
        <v>211</v>
      </c>
      <c r="J224">
        <v>11002</v>
      </c>
      <c r="K224">
        <f>Table1[[#This Row],[AsrTot]]-Table1[[#This Row],[BrdTot]]</f>
        <v>2541</v>
      </c>
    </row>
    <row r="225" spans="1:11" x14ac:dyDescent="0.55000000000000004">
      <c r="A225" t="s">
        <v>587</v>
      </c>
      <c r="B225" t="s">
        <v>588</v>
      </c>
      <c r="C225" t="s">
        <v>12</v>
      </c>
      <c r="D225" t="s">
        <v>13</v>
      </c>
      <c r="E225" t="s">
        <v>14</v>
      </c>
      <c r="F225" t="s">
        <v>588</v>
      </c>
      <c r="G225">
        <v>25000</v>
      </c>
      <c r="H225">
        <v>22450</v>
      </c>
      <c r="I225">
        <v>211</v>
      </c>
      <c r="J225">
        <v>15002</v>
      </c>
      <c r="K225">
        <f>Table1[[#This Row],[AsrTot]]-Table1[[#This Row],[BrdTot]]</f>
        <v>2550</v>
      </c>
    </row>
    <row r="226" spans="1:11" x14ac:dyDescent="0.55000000000000004">
      <c r="A226" t="s">
        <v>303</v>
      </c>
      <c r="B226" t="s">
        <v>304</v>
      </c>
      <c r="C226" t="s">
        <v>12</v>
      </c>
      <c r="D226" t="s">
        <v>13</v>
      </c>
      <c r="E226" t="s">
        <v>14</v>
      </c>
      <c r="F226" t="s">
        <v>304</v>
      </c>
      <c r="G226">
        <v>25000</v>
      </c>
      <c r="H226">
        <v>22449</v>
      </c>
      <c r="I226">
        <v>204</v>
      </c>
      <c r="J226">
        <v>15001</v>
      </c>
      <c r="K226">
        <f>Table1[[#This Row],[AsrTot]]-Table1[[#This Row],[BrdTot]]</f>
        <v>2551</v>
      </c>
    </row>
    <row r="227" spans="1:11" x14ac:dyDescent="0.55000000000000004">
      <c r="A227" t="s">
        <v>599</v>
      </c>
      <c r="B227" t="s">
        <v>600</v>
      </c>
      <c r="C227" t="s">
        <v>12</v>
      </c>
      <c r="D227" t="s">
        <v>13</v>
      </c>
      <c r="E227" t="s">
        <v>14</v>
      </c>
      <c r="F227" t="s">
        <v>600</v>
      </c>
      <c r="G227">
        <v>20999</v>
      </c>
      <c r="H227">
        <v>18439</v>
      </c>
      <c r="I227">
        <v>203</v>
      </c>
      <c r="J227">
        <v>15001</v>
      </c>
      <c r="K227">
        <f>Table1[[#This Row],[AsrTot]]-Table1[[#This Row],[BrdTot]]</f>
        <v>2560</v>
      </c>
    </row>
    <row r="228" spans="1:11" x14ac:dyDescent="0.55000000000000004">
      <c r="A228" t="s">
        <v>476</v>
      </c>
      <c r="B228" t="s">
        <v>477</v>
      </c>
      <c r="C228" t="s">
        <v>12</v>
      </c>
      <c r="D228" t="s">
        <v>13</v>
      </c>
      <c r="E228" t="s">
        <v>14</v>
      </c>
      <c r="F228" t="s">
        <v>477</v>
      </c>
      <c r="G228">
        <v>33000</v>
      </c>
      <c r="H228">
        <v>30430</v>
      </c>
      <c r="I228">
        <v>206</v>
      </c>
      <c r="J228">
        <v>15001</v>
      </c>
      <c r="K228">
        <f>Table1[[#This Row],[AsrTot]]-Table1[[#This Row],[BrdTot]]</f>
        <v>2570</v>
      </c>
    </row>
    <row r="229" spans="1:11" x14ac:dyDescent="0.55000000000000004">
      <c r="A229" t="s">
        <v>386</v>
      </c>
      <c r="B229" t="s">
        <v>387</v>
      </c>
      <c r="C229" t="s">
        <v>12</v>
      </c>
      <c r="D229" t="s">
        <v>13</v>
      </c>
      <c r="E229" t="s">
        <v>14</v>
      </c>
      <c r="F229" t="s">
        <v>387</v>
      </c>
      <c r="G229">
        <v>25999</v>
      </c>
      <c r="H229">
        <v>23424</v>
      </c>
      <c r="I229">
        <v>211</v>
      </c>
      <c r="J229">
        <v>15001</v>
      </c>
      <c r="K229">
        <f>Table1[[#This Row],[AsrTot]]-Table1[[#This Row],[BrdTot]]</f>
        <v>2575</v>
      </c>
    </row>
    <row r="230" spans="1:11" x14ac:dyDescent="0.55000000000000004">
      <c r="A230" t="s">
        <v>191</v>
      </c>
      <c r="B230" t="s">
        <v>192</v>
      </c>
      <c r="C230" t="s">
        <v>12</v>
      </c>
      <c r="D230" t="s">
        <v>13</v>
      </c>
      <c r="E230" t="s">
        <v>14</v>
      </c>
      <c r="F230" t="s">
        <v>192</v>
      </c>
      <c r="G230">
        <v>24999</v>
      </c>
      <c r="H230">
        <v>22417</v>
      </c>
      <c r="I230">
        <v>211</v>
      </c>
      <c r="J230">
        <v>15001</v>
      </c>
      <c r="K230">
        <f>Table1[[#This Row],[AsrTot]]-Table1[[#This Row],[BrdTot]]</f>
        <v>2582</v>
      </c>
    </row>
    <row r="231" spans="1:11" x14ac:dyDescent="0.55000000000000004">
      <c r="A231" t="s">
        <v>466</v>
      </c>
      <c r="B231" t="s">
        <v>467</v>
      </c>
      <c r="C231" t="s">
        <v>12</v>
      </c>
      <c r="D231" t="s">
        <v>13</v>
      </c>
      <c r="E231" t="s">
        <v>14</v>
      </c>
      <c r="F231" t="s">
        <v>467</v>
      </c>
      <c r="G231">
        <v>27999</v>
      </c>
      <c r="H231">
        <v>25416</v>
      </c>
      <c r="I231">
        <v>211</v>
      </c>
      <c r="J231">
        <v>15001</v>
      </c>
      <c r="K231">
        <f>Table1[[#This Row],[AsrTot]]-Table1[[#This Row],[BrdTot]]</f>
        <v>2583</v>
      </c>
    </row>
    <row r="232" spans="1:11" x14ac:dyDescent="0.55000000000000004">
      <c r="A232" t="s">
        <v>472</v>
      </c>
      <c r="B232" t="s">
        <v>473</v>
      </c>
      <c r="C232" t="s">
        <v>12</v>
      </c>
      <c r="D232" t="s">
        <v>13</v>
      </c>
      <c r="E232" t="s">
        <v>14</v>
      </c>
      <c r="F232" t="s">
        <v>473</v>
      </c>
      <c r="G232">
        <v>17999</v>
      </c>
      <c r="H232">
        <v>15408</v>
      </c>
      <c r="I232">
        <v>202</v>
      </c>
      <c r="J232">
        <v>15001</v>
      </c>
      <c r="K232">
        <f>Table1[[#This Row],[AsrTot]]-Table1[[#This Row],[BrdTot]]</f>
        <v>2591</v>
      </c>
    </row>
    <row r="233" spans="1:11" x14ac:dyDescent="0.55000000000000004">
      <c r="A233" t="s">
        <v>329</v>
      </c>
      <c r="B233" t="s">
        <v>330</v>
      </c>
      <c r="C233" t="s">
        <v>12</v>
      </c>
      <c r="D233" t="s">
        <v>13</v>
      </c>
      <c r="E233" t="s">
        <v>14</v>
      </c>
      <c r="F233" t="s">
        <v>330</v>
      </c>
      <c r="G233">
        <v>24999</v>
      </c>
      <c r="H233">
        <v>22369</v>
      </c>
      <c r="I233">
        <v>203</v>
      </c>
      <c r="J233">
        <v>15001</v>
      </c>
      <c r="K233">
        <f>Table1[[#This Row],[AsrTot]]-Table1[[#This Row],[BrdTot]]</f>
        <v>2630</v>
      </c>
    </row>
    <row r="234" spans="1:11" x14ac:dyDescent="0.55000000000000004">
      <c r="A234" t="s">
        <v>585</v>
      </c>
      <c r="B234" t="s">
        <v>586</v>
      </c>
      <c r="C234" t="s">
        <v>12</v>
      </c>
      <c r="D234" t="s">
        <v>13</v>
      </c>
      <c r="E234" t="s">
        <v>14</v>
      </c>
      <c r="F234" t="s">
        <v>586</v>
      </c>
      <c r="G234">
        <v>21999</v>
      </c>
      <c r="H234">
        <v>19364</v>
      </c>
      <c r="I234">
        <v>203</v>
      </c>
      <c r="J234">
        <v>15002</v>
      </c>
      <c r="K234">
        <f>Table1[[#This Row],[AsrTot]]-Table1[[#This Row],[BrdTot]]</f>
        <v>2635</v>
      </c>
    </row>
    <row r="235" spans="1:11" x14ac:dyDescent="0.55000000000000004">
      <c r="A235" t="s">
        <v>378</v>
      </c>
      <c r="B235" t="s">
        <v>379</v>
      </c>
      <c r="C235" t="s">
        <v>12</v>
      </c>
      <c r="D235" t="s">
        <v>13</v>
      </c>
      <c r="E235" t="s">
        <v>14</v>
      </c>
      <c r="F235" t="s">
        <v>379</v>
      </c>
      <c r="G235">
        <v>21999</v>
      </c>
      <c r="H235">
        <v>19360</v>
      </c>
      <c r="I235">
        <v>205</v>
      </c>
      <c r="J235">
        <v>15002</v>
      </c>
      <c r="K235">
        <f>Table1[[#This Row],[AsrTot]]-Table1[[#This Row],[BrdTot]]</f>
        <v>2639</v>
      </c>
    </row>
    <row r="236" spans="1:11" x14ac:dyDescent="0.55000000000000004">
      <c r="A236" t="s">
        <v>446</v>
      </c>
      <c r="B236" t="s">
        <v>447</v>
      </c>
      <c r="C236" t="s">
        <v>12</v>
      </c>
      <c r="D236" t="s">
        <v>13</v>
      </c>
      <c r="E236" t="s">
        <v>14</v>
      </c>
      <c r="F236" t="s">
        <v>447</v>
      </c>
      <c r="G236">
        <v>21000</v>
      </c>
      <c r="H236">
        <v>18340</v>
      </c>
      <c r="I236">
        <v>203</v>
      </c>
      <c r="J236">
        <v>11002</v>
      </c>
      <c r="K236">
        <f>Table1[[#This Row],[AsrTot]]-Table1[[#This Row],[BrdTot]]</f>
        <v>2660</v>
      </c>
    </row>
    <row r="237" spans="1:11" x14ac:dyDescent="0.55000000000000004">
      <c r="A237" t="s">
        <v>388</v>
      </c>
      <c r="B237" t="s">
        <v>389</v>
      </c>
      <c r="C237" t="s">
        <v>12</v>
      </c>
      <c r="D237" t="s">
        <v>13</v>
      </c>
      <c r="E237" t="s">
        <v>14</v>
      </c>
      <c r="F237" t="s">
        <v>389</v>
      </c>
      <c r="G237">
        <v>27999</v>
      </c>
      <c r="H237">
        <v>25334</v>
      </c>
      <c r="I237">
        <v>204</v>
      </c>
      <c r="J237">
        <v>15001</v>
      </c>
      <c r="K237">
        <f>Table1[[#This Row],[AsrTot]]-Table1[[#This Row],[BrdTot]]</f>
        <v>2665</v>
      </c>
    </row>
    <row r="238" spans="1:11" x14ac:dyDescent="0.55000000000000004">
      <c r="A238" t="s">
        <v>486</v>
      </c>
      <c r="B238" t="s">
        <v>487</v>
      </c>
      <c r="C238" t="s">
        <v>12</v>
      </c>
      <c r="D238" t="s">
        <v>13</v>
      </c>
      <c r="E238" t="s">
        <v>14</v>
      </c>
      <c r="F238" t="s">
        <v>487</v>
      </c>
      <c r="G238">
        <v>20000</v>
      </c>
      <c r="H238">
        <v>17300</v>
      </c>
      <c r="I238">
        <v>203</v>
      </c>
      <c r="J238">
        <v>15001</v>
      </c>
      <c r="K238">
        <f>Table1[[#This Row],[AsrTot]]-Table1[[#This Row],[BrdTot]]</f>
        <v>2700</v>
      </c>
    </row>
    <row r="239" spans="1:11" x14ac:dyDescent="0.55000000000000004">
      <c r="A239" t="s">
        <v>123</v>
      </c>
      <c r="B239" t="s">
        <v>124</v>
      </c>
      <c r="C239" t="s">
        <v>12</v>
      </c>
      <c r="D239" t="s">
        <v>13</v>
      </c>
      <c r="E239" t="s">
        <v>14</v>
      </c>
      <c r="F239" t="s">
        <v>124</v>
      </c>
      <c r="G239">
        <v>21414</v>
      </c>
      <c r="H239">
        <v>18703</v>
      </c>
      <c r="I239">
        <v>203</v>
      </c>
      <c r="J239">
        <v>15001</v>
      </c>
      <c r="K239">
        <f>Table1[[#This Row],[AsrTot]]-Table1[[#This Row],[BrdTot]]</f>
        <v>2711</v>
      </c>
    </row>
    <row r="240" spans="1:11" x14ac:dyDescent="0.55000000000000004">
      <c r="A240" t="s">
        <v>251</v>
      </c>
      <c r="B240" t="s">
        <v>252</v>
      </c>
      <c r="C240" t="s">
        <v>12</v>
      </c>
      <c r="D240" t="s">
        <v>13</v>
      </c>
      <c r="E240" t="s">
        <v>14</v>
      </c>
      <c r="F240" t="s">
        <v>252</v>
      </c>
      <c r="G240">
        <v>20499</v>
      </c>
      <c r="H240">
        <v>17753</v>
      </c>
      <c r="I240">
        <v>205</v>
      </c>
      <c r="J240">
        <v>15001</v>
      </c>
      <c r="K240">
        <f>Table1[[#This Row],[AsrTot]]-Table1[[#This Row],[BrdTot]]</f>
        <v>2746</v>
      </c>
    </row>
    <row r="241" spans="1:11" x14ac:dyDescent="0.55000000000000004">
      <c r="A241" t="s">
        <v>54</v>
      </c>
      <c r="B241" t="s">
        <v>55</v>
      </c>
      <c r="C241" t="s">
        <v>12</v>
      </c>
      <c r="D241" t="s">
        <v>24</v>
      </c>
      <c r="E241" t="s">
        <v>14</v>
      </c>
      <c r="F241" t="s">
        <v>55</v>
      </c>
      <c r="G241">
        <v>24000</v>
      </c>
      <c r="H241">
        <v>21247</v>
      </c>
      <c r="I241">
        <v>203</v>
      </c>
      <c r="J241">
        <v>11001</v>
      </c>
      <c r="K241">
        <f>Table1[[#This Row],[AsrTot]]-Table1[[#This Row],[BrdTot]]</f>
        <v>2753</v>
      </c>
    </row>
    <row r="242" spans="1:11" x14ac:dyDescent="0.55000000000000004">
      <c r="A242" t="s">
        <v>209</v>
      </c>
      <c r="B242" t="s">
        <v>210</v>
      </c>
      <c r="C242" t="s">
        <v>12</v>
      </c>
      <c r="D242" t="s">
        <v>13</v>
      </c>
      <c r="E242" t="s">
        <v>14</v>
      </c>
      <c r="F242" t="s">
        <v>210</v>
      </c>
      <c r="G242">
        <v>20999</v>
      </c>
      <c r="H242">
        <v>18244</v>
      </c>
      <c r="I242">
        <v>203</v>
      </c>
      <c r="J242">
        <v>15001</v>
      </c>
      <c r="K242">
        <f>Table1[[#This Row],[AsrTot]]-Table1[[#This Row],[BrdTot]]</f>
        <v>2755</v>
      </c>
    </row>
    <row r="243" spans="1:11" x14ac:dyDescent="0.55000000000000004">
      <c r="A243" t="s">
        <v>440</v>
      </c>
      <c r="B243" t="s">
        <v>441</v>
      </c>
      <c r="C243" t="s">
        <v>12</v>
      </c>
      <c r="D243" t="s">
        <v>13</v>
      </c>
      <c r="E243" t="s">
        <v>14</v>
      </c>
      <c r="F243" t="s">
        <v>441</v>
      </c>
      <c r="G243">
        <v>22999</v>
      </c>
      <c r="H243">
        <v>20244</v>
      </c>
      <c r="I243">
        <v>203</v>
      </c>
      <c r="J243">
        <v>15001</v>
      </c>
      <c r="K243">
        <f>Table1[[#This Row],[AsrTot]]-Table1[[#This Row],[BrdTot]]</f>
        <v>2755</v>
      </c>
    </row>
    <row r="244" spans="1:11" x14ac:dyDescent="0.55000000000000004">
      <c r="A244" t="s">
        <v>583</v>
      </c>
      <c r="B244" t="s">
        <v>584</v>
      </c>
      <c r="C244" t="s">
        <v>12</v>
      </c>
      <c r="D244" t="s">
        <v>13</v>
      </c>
      <c r="E244" t="s">
        <v>14</v>
      </c>
      <c r="F244" t="s">
        <v>584</v>
      </c>
      <c r="G244">
        <v>19999</v>
      </c>
      <c r="H244">
        <v>17234</v>
      </c>
      <c r="I244">
        <v>203</v>
      </c>
      <c r="J244">
        <v>15002</v>
      </c>
      <c r="K244">
        <f>Table1[[#This Row],[AsrTot]]-Table1[[#This Row],[BrdTot]]</f>
        <v>2765</v>
      </c>
    </row>
    <row r="245" spans="1:11" x14ac:dyDescent="0.55000000000000004">
      <c r="A245" t="s">
        <v>205</v>
      </c>
      <c r="B245" t="s">
        <v>206</v>
      </c>
      <c r="C245" t="s">
        <v>12</v>
      </c>
      <c r="D245" t="s">
        <v>13</v>
      </c>
      <c r="E245" t="s">
        <v>14</v>
      </c>
      <c r="F245" t="s">
        <v>206</v>
      </c>
      <c r="G245">
        <v>29999</v>
      </c>
      <c r="H245">
        <v>27226</v>
      </c>
      <c r="I245">
        <v>211</v>
      </c>
      <c r="J245">
        <v>15001</v>
      </c>
      <c r="K245">
        <f>Table1[[#This Row],[AsrTot]]-Table1[[#This Row],[BrdTot]]</f>
        <v>2773</v>
      </c>
    </row>
    <row r="246" spans="1:11" x14ac:dyDescent="0.55000000000000004">
      <c r="A246" t="s">
        <v>99</v>
      </c>
      <c r="B246" t="s">
        <v>100</v>
      </c>
      <c r="C246" t="s">
        <v>12</v>
      </c>
      <c r="D246" t="s">
        <v>13</v>
      </c>
      <c r="E246" t="s">
        <v>14</v>
      </c>
      <c r="F246" t="s">
        <v>100</v>
      </c>
      <c r="G246">
        <v>31000</v>
      </c>
      <c r="H246">
        <v>28203</v>
      </c>
      <c r="I246">
        <v>205</v>
      </c>
      <c r="J246">
        <v>11002</v>
      </c>
      <c r="K246">
        <f>Table1[[#This Row],[AsrTot]]-Table1[[#This Row],[BrdTot]]</f>
        <v>2797</v>
      </c>
    </row>
    <row r="247" spans="1:11" x14ac:dyDescent="0.55000000000000004">
      <c r="A247" t="s">
        <v>601</v>
      </c>
      <c r="B247" t="s">
        <v>602</v>
      </c>
      <c r="C247" t="s">
        <v>12</v>
      </c>
      <c r="D247" t="s">
        <v>13</v>
      </c>
      <c r="E247" t="s">
        <v>14</v>
      </c>
      <c r="F247" t="s">
        <v>602</v>
      </c>
      <c r="G247">
        <v>26999</v>
      </c>
      <c r="H247">
        <v>24182</v>
      </c>
      <c r="I247">
        <v>211</v>
      </c>
      <c r="J247">
        <v>15001</v>
      </c>
      <c r="K247">
        <f>Table1[[#This Row],[AsrTot]]-Table1[[#This Row],[BrdTot]]</f>
        <v>2817</v>
      </c>
    </row>
    <row r="248" spans="1:11" x14ac:dyDescent="0.55000000000000004">
      <c r="A248" t="s">
        <v>151</v>
      </c>
      <c r="B248" t="s">
        <v>152</v>
      </c>
      <c r="C248" t="s">
        <v>12</v>
      </c>
      <c r="D248" t="s">
        <v>13</v>
      </c>
      <c r="E248" t="s">
        <v>14</v>
      </c>
      <c r="F248" t="s">
        <v>152</v>
      </c>
      <c r="G248">
        <v>25999</v>
      </c>
      <c r="H248">
        <v>23175</v>
      </c>
      <c r="I248">
        <v>203</v>
      </c>
      <c r="J248">
        <v>15001</v>
      </c>
      <c r="K248">
        <f>Table1[[#This Row],[AsrTot]]-Table1[[#This Row],[BrdTot]]</f>
        <v>2824</v>
      </c>
    </row>
    <row r="249" spans="1:11" x14ac:dyDescent="0.55000000000000004">
      <c r="A249" t="s">
        <v>181</v>
      </c>
      <c r="B249" t="s">
        <v>182</v>
      </c>
      <c r="C249" t="s">
        <v>12</v>
      </c>
      <c r="D249" t="s">
        <v>13</v>
      </c>
      <c r="E249" t="s">
        <v>14</v>
      </c>
      <c r="F249" t="s">
        <v>182</v>
      </c>
      <c r="G249">
        <v>34999</v>
      </c>
      <c r="H249">
        <v>32160</v>
      </c>
      <c r="I249">
        <v>211</v>
      </c>
      <c r="J249">
        <v>15001</v>
      </c>
      <c r="K249">
        <f>Table1[[#This Row],[AsrTot]]-Table1[[#This Row],[BrdTot]]</f>
        <v>2839</v>
      </c>
    </row>
    <row r="250" spans="1:11" x14ac:dyDescent="0.55000000000000004">
      <c r="A250" t="s">
        <v>331</v>
      </c>
      <c r="B250" t="s">
        <v>332</v>
      </c>
      <c r="C250" t="s">
        <v>12</v>
      </c>
      <c r="D250" t="s">
        <v>13</v>
      </c>
      <c r="E250" t="s">
        <v>14</v>
      </c>
      <c r="F250" t="s">
        <v>332</v>
      </c>
      <c r="G250">
        <v>27999</v>
      </c>
      <c r="H250">
        <v>25158</v>
      </c>
      <c r="I250">
        <v>206</v>
      </c>
      <c r="J250">
        <v>15001</v>
      </c>
      <c r="K250">
        <f>Table1[[#This Row],[AsrTot]]-Table1[[#This Row],[BrdTot]]</f>
        <v>2841</v>
      </c>
    </row>
    <row r="251" spans="1:11" x14ac:dyDescent="0.55000000000000004">
      <c r="A251" t="s">
        <v>299</v>
      </c>
      <c r="B251" t="s">
        <v>300</v>
      </c>
      <c r="C251" t="s">
        <v>12</v>
      </c>
      <c r="D251" t="s">
        <v>13</v>
      </c>
      <c r="E251" t="s">
        <v>14</v>
      </c>
      <c r="F251" t="s">
        <v>300</v>
      </c>
      <c r="G251">
        <v>26999</v>
      </c>
      <c r="H251">
        <v>24108</v>
      </c>
      <c r="I251">
        <v>211</v>
      </c>
      <c r="J251">
        <v>15001</v>
      </c>
      <c r="K251">
        <f>Table1[[#This Row],[AsrTot]]-Table1[[#This Row],[BrdTot]]</f>
        <v>2891</v>
      </c>
    </row>
    <row r="252" spans="1:11" x14ac:dyDescent="0.55000000000000004">
      <c r="A252" t="s">
        <v>422</v>
      </c>
      <c r="B252" t="s">
        <v>423</v>
      </c>
      <c r="C252" t="s">
        <v>12</v>
      </c>
      <c r="D252" t="s">
        <v>13</v>
      </c>
      <c r="E252" t="s">
        <v>14</v>
      </c>
      <c r="F252" t="s">
        <v>423</v>
      </c>
      <c r="G252">
        <v>26999</v>
      </c>
      <c r="H252">
        <v>24101</v>
      </c>
      <c r="I252">
        <v>204</v>
      </c>
      <c r="J252">
        <v>15002</v>
      </c>
      <c r="K252">
        <f>Table1[[#This Row],[AsrTot]]-Table1[[#This Row],[BrdTot]]</f>
        <v>2898</v>
      </c>
    </row>
    <row r="253" spans="1:11" x14ac:dyDescent="0.55000000000000004">
      <c r="A253" t="s">
        <v>199</v>
      </c>
      <c r="B253" t="s">
        <v>200</v>
      </c>
      <c r="C253" t="s">
        <v>12</v>
      </c>
      <c r="D253" t="s">
        <v>13</v>
      </c>
      <c r="E253" t="s">
        <v>14</v>
      </c>
      <c r="F253" t="s">
        <v>200</v>
      </c>
      <c r="G253">
        <v>25999</v>
      </c>
      <c r="H253">
        <v>23088</v>
      </c>
      <c r="I253">
        <v>211</v>
      </c>
      <c r="J253">
        <v>15001</v>
      </c>
      <c r="K253">
        <f>Table1[[#This Row],[AsrTot]]-Table1[[#This Row],[BrdTot]]</f>
        <v>2911</v>
      </c>
    </row>
    <row r="254" spans="1:11" x14ac:dyDescent="0.55000000000000004">
      <c r="A254" t="s">
        <v>319</v>
      </c>
      <c r="B254" t="s">
        <v>320</v>
      </c>
      <c r="C254" t="s">
        <v>12</v>
      </c>
      <c r="D254" t="s">
        <v>13</v>
      </c>
      <c r="E254" t="s">
        <v>14</v>
      </c>
      <c r="F254" t="s">
        <v>320</v>
      </c>
      <c r="G254">
        <v>30543</v>
      </c>
      <c r="H254">
        <v>27617</v>
      </c>
      <c r="I254">
        <v>211</v>
      </c>
      <c r="J254">
        <v>15001</v>
      </c>
      <c r="K254">
        <f>Table1[[#This Row],[AsrTot]]-Table1[[#This Row],[BrdTot]]</f>
        <v>2926</v>
      </c>
    </row>
    <row r="255" spans="1:11" x14ac:dyDescent="0.55000000000000004">
      <c r="A255" t="s">
        <v>311</v>
      </c>
      <c r="B255" t="s">
        <v>312</v>
      </c>
      <c r="C255" t="s">
        <v>12</v>
      </c>
      <c r="D255" t="s">
        <v>13</v>
      </c>
      <c r="E255" t="s">
        <v>14</v>
      </c>
      <c r="F255" t="s">
        <v>312</v>
      </c>
      <c r="G255">
        <v>31999</v>
      </c>
      <c r="H255">
        <v>29030</v>
      </c>
      <c r="I255">
        <v>211</v>
      </c>
      <c r="J255">
        <v>15001</v>
      </c>
      <c r="K255">
        <f>Table1[[#This Row],[AsrTot]]-Table1[[#This Row],[BrdTot]]</f>
        <v>2969</v>
      </c>
    </row>
    <row r="256" spans="1:11" x14ac:dyDescent="0.55000000000000004">
      <c r="A256" t="s">
        <v>504</v>
      </c>
      <c r="B256" t="s">
        <v>505</v>
      </c>
      <c r="C256" t="s">
        <v>12</v>
      </c>
      <c r="D256" t="s">
        <v>13</v>
      </c>
      <c r="E256" t="s">
        <v>14</v>
      </c>
      <c r="F256" t="s">
        <v>505</v>
      </c>
      <c r="G256">
        <v>30000</v>
      </c>
      <c r="H256">
        <v>27027</v>
      </c>
      <c r="I256">
        <v>211</v>
      </c>
      <c r="J256">
        <v>15001</v>
      </c>
      <c r="K256">
        <f>Table1[[#This Row],[AsrTot]]-Table1[[#This Row],[BrdTot]]</f>
        <v>2973</v>
      </c>
    </row>
    <row r="257" spans="1:11" x14ac:dyDescent="0.55000000000000004">
      <c r="A257" t="s">
        <v>20</v>
      </c>
      <c r="B257" t="s">
        <v>21</v>
      </c>
      <c r="C257" t="s">
        <v>12</v>
      </c>
      <c r="D257" t="s">
        <v>13</v>
      </c>
      <c r="E257" t="s">
        <v>14</v>
      </c>
      <c r="F257" t="s">
        <v>21</v>
      </c>
      <c r="G257">
        <v>27830</v>
      </c>
      <c r="H257">
        <v>24783</v>
      </c>
      <c r="I257">
        <v>203</v>
      </c>
      <c r="J257">
        <v>11002</v>
      </c>
      <c r="K257">
        <f>Table1[[#This Row],[AsrTot]]-Table1[[#This Row],[BrdTot]]</f>
        <v>3047</v>
      </c>
    </row>
    <row r="258" spans="1:11" x14ac:dyDescent="0.55000000000000004">
      <c r="A258" t="s">
        <v>349</v>
      </c>
      <c r="B258" t="s">
        <v>350</v>
      </c>
      <c r="C258" t="s">
        <v>12</v>
      </c>
      <c r="D258" t="s">
        <v>13</v>
      </c>
      <c r="E258" t="s">
        <v>14</v>
      </c>
      <c r="F258" t="s">
        <v>350</v>
      </c>
      <c r="G258">
        <v>29000</v>
      </c>
      <c r="H258">
        <v>25953</v>
      </c>
      <c r="I258">
        <v>211</v>
      </c>
      <c r="J258">
        <v>15001</v>
      </c>
      <c r="K258">
        <f>Table1[[#This Row],[AsrTot]]-Table1[[#This Row],[BrdTot]]</f>
        <v>3047</v>
      </c>
    </row>
    <row r="259" spans="1:11" x14ac:dyDescent="0.55000000000000004">
      <c r="A259" t="s">
        <v>402</v>
      </c>
      <c r="B259" t="s">
        <v>403</v>
      </c>
      <c r="C259" t="s">
        <v>12</v>
      </c>
      <c r="D259" t="s">
        <v>13</v>
      </c>
      <c r="E259" t="s">
        <v>14</v>
      </c>
      <c r="F259" t="s">
        <v>403</v>
      </c>
      <c r="G259">
        <v>22999</v>
      </c>
      <c r="H259">
        <v>19931</v>
      </c>
      <c r="I259">
        <v>207</v>
      </c>
      <c r="J259">
        <v>15002</v>
      </c>
      <c r="K259">
        <f>Table1[[#This Row],[AsrTot]]-Table1[[#This Row],[BrdTot]]</f>
        <v>3068</v>
      </c>
    </row>
    <row r="260" spans="1:11" x14ac:dyDescent="0.55000000000000004">
      <c r="A260" t="s">
        <v>67</v>
      </c>
      <c r="B260" t="s">
        <v>68</v>
      </c>
      <c r="C260" t="s">
        <v>12</v>
      </c>
      <c r="D260" t="s">
        <v>13</v>
      </c>
      <c r="E260" t="s">
        <v>14</v>
      </c>
      <c r="F260" t="s">
        <v>68</v>
      </c>
      <c r="G260">
        <v>29000</v>
      </c>
      <c r="H260">
        <v>25927</v>
      </c>
      <c r="I260">
        <v>211</v>
      </c>
      <c r="J260">
        <v>15001</v>
      </c>
      <c r="K260">
        <f>Table1[[#This Row],[AsrTot]]-Table1[[#This Row],[BrdTot]]</f>
        <v>3073</v>
      </c>
    </row>
    <row r="261" spans="1:11" x14ac:dyDescent="0.55000000000000004">
      <c r="A261" t="s">
        <v>484</v>
      </c>
      <c r="B261" t="s">
        <v>485</v>
      </c>
      <c r="C261" t="s">
        <v>12</v>
      </c>
      <c r="D261" t="s">
        <v>13</v>
      </c>
      <c r="E261" t="s">
        <v>14</v>
      </c>
      <c r="F261" t="s">
        <v>485</v>
      </c>
      <c r="G261">
        <v>31999</v>
      </c>
      <c r="H261">
        <v>28888</v>
      </c>
      <c r="I261">
        <v>211</v>
      </c>
      <c r="J261">
        <v>15001</v>
      </c>
      <c r="K261">
        <f>Table1[[#This Row],[AsrTot]]-Table1[[#This Row],[BrdTot]]</f>
        <v>3111</v>
      </c>
    </row>
    <row r="262" spans="1:11" x14ac:dyDescent="0.55000000000000004">
      <c r="A262" t="s">
        <v>518</v>
      </c>
      <c r="B262" t="s">
        <v>519</v>
      </c>
      <c r="C262" t="s">
        <v>12</v>
      </c>
      <c r="D262" t="s">
        <v>13</v>
      </c>
      <c r="E262" t="s">
        <v>14</v>
      </c>
      <c r="F262" t="s">
        <v>519</v>
      </c>
      <c r="G262">
        <v>26000</v>
      </c>
      <c r="H262">
        <v>22879</v>
      </c>
      <c r="I262">
        <v>203</v>
      </c>
      <c r="J262">
        <v>11002</v>
      </c>
      <c r="K262">
        <f>Table1[[#This Row],[AsrTot]]-Table1[[#This Row],[BrdTot]]</f>
        <v>3121</v>
      </c>
    </row>
    <row r="263" spans="1:11" x14ac:dyDescent="0.55000000000000004">
      <c r="A263" t="s">
        <v>111</v>
      </c>
      <c r="B263" t="s">
        <v>112</v>
      </c>
      <c r="C263" t="s">
        <v>12</v>
      </c>
      <c r="D263" t="s">
        <v>13</v>
      </c>
      <c r="E263" t="s">
        <v>14</v>
      </c>
      <c r="F263" t="s">
        <v>112</v>
      </c>
      <c r="G263">
        <v>25000</v>
      </c>
      <c r="H263">
        <v>21866</v>
      </c>
      <c r="I263">
        <v>211</v>
      </c>
      <c r="J263">
        <v>15002</v>
      </c>
      <c r="K263">
        <f>Table1[[#This Row],[AsrTot]]-Table1[[#This Row],[BrdTot]]</f>
        <v>3134</v>
      </c>
    </row>
    <row r="264" spans="1:11" x14ac:dyDescent="0.55000000000000004">
      <c r="A264" t="s">
        <v>265</v>
      </c>
      <c r="B264" t="s">
        <v>266</v>
      </c>
      <c r="C264" t="s">
        <v>12</v>
      </c>
      <c r="D264" t="s">
        <v>13</v>
      </c>
      <c r="E264" t="s">
        <v>14</v>
      </c>
      <c r="F264" t="s">
        <v>266</v>
      </c>
      <c r="G264">
        <v>20999</v>
      </c>
      <c r="H264">
        <v>17803</v>
      </c>
      <c r="I264">
        <v>202</v>
      </c>
      <c r="J264">
        <v>15001</v>
      </c>
      <c r="K264">
        <f>Table1[[#This Row],[AsrTot]]-Table1[[#This Row],[BrdTot]]</f>
        <v>3196</v>
      </c>
    </row>
    <row r="265" spans="1:11" x14ac:dyDescent="0.55000000000000004">
      <c r="A265" t="s">
        <v>341</v>
      </c>
      <c r="B265" t="s">
        <v>342</v>
      </c>
      <c r="C265" t="s">
        <v>12</v>
      </c>
      <c r="D265" t="s">
        <v>13</v>
      </c>
      <c r="E265" t="s">
        <v>14</v>
      </c>
      <c r="F265" t="s">
        <v>342</v>
      </c>
      <c r="G265">
        <v>27999</v>
      </c>
      <c r="H265">
        <v>24796</v>
      </c>
      <c r="I265">
        <v>211</v>
      </c>
      <c r="J265">
        <v>15001</v>
      </c>
      <c r="K265">
        <f>Table1[[#This Row],[AsrTot]]-Table1[[#This Row],[BrdTot]]</f>
        <v>3203</v>
      </c>
    </row>
    <row r="266" spans="1:11" x14ac:dyDescent="0.55000000000000004">
      <c r="A266" t="s">
        <v>434</v>
      </c>
      <c r="B266" t="s">
        <v>435</v>
      </c>
      <c r="C266" t="s">
        <v>12</v>
      </c>
      <c r="D266" t="s">
        <v>13</v>
      </c>
      <c r="E266" t="s">
        <v>14</v>
      </c>
      <c r="F266" t="s">
        <v>435</v>
      </c>
      <c r="G266">
        <v>28000</v>
      </c>
      <c r="H266">
        <v>24779</v>
      </c>
      <c r="I266">
        <v>211</v>
      </c>
      <c r="J266">
        <v>15001</v>
      </c>
      <c r="K266">
        <f>Table1[[#This Row],[AsrTot]]-Table1[[#This Row],[BrdTot]]</f>
        <v>3221</v>
      </c>
    </row>
    <row r="267" spans="1:11" x14ac:dyDescent="0.55000000000000004">
      <c r="A267" t="s">
        <v>327</v>
      </c>
      <c r="B267" t="s">
        <v>328</v>
      </c>
      <c r="C267" t="s">
        <v>12</v>
      </c>
      <c r="D267" t="s">
        <v>13</v>
      </c>
      <c r="E267" t="s">
        <v>14</v>
      </c>
      <c r="F267" t="s">
        <v>328</v>
      </c>
      <c r="G267">
        <v>24999</v>
      </c>
      <c r="H267">
        <v>21776</v>
      </c>
      <c r="I267">
        <v>211</v>
      </c>
      <c r="J267">
        <v>15001</v>
      </c>
      <c r="K267">
        <f>Table1[[#This Row],[AsrTot]]-Table1[[#This Row],[BrdTot]]</f>
        <v>3223</v>
      </c>
    </row>
    <row r="268" spans="1:11" x14ac:dyDescent="0.55000000000000004">
      <c r="A268" t="s">
        <v>547</v>
      </c>
      <c r="B268" t="s">
        <v>548</v>
      </c>
      <c r="C268" t="s">
        <v>12</v>
      </c>
      <c r="D268" t="s">
        <v>13</v>
      </c>
      <c r="E268" t="s">
        <v>14</v>
      </c>
      <c r="F268" t="s">
        <v>548</v>
      </c>
      <c r="G268">
        <v>32000</v>
      </c>
      <c r="H268">
        <v>28766</v>
      </c>
      <c r="I268">
        <v>211</v>
      </c>
      <c r="J268">
        <v>15001</v>
      </c>
      <c r="K268">
        <f>Table1[[#This Row],[AsrTot]]-Table1[[#This Row],[BrdTot]]</f>
        <v>3234</v>
      </c>
    </row>
    <row r="269" spans="1:11" x14ac:dyDescent="0.55000000000000004">
      <c r="A269" t="s">
        <v>249</v>
      </c>
      <c r="B269" t="s">
        <v>250</v>
      </c>
      <c r="C269" t="s">
        <v>12</v>
      </c>
      <c r="D269" t="s">
        <v>13</v>
      </c>
      <c r="E269" t="s">
        <v>14</v>
      </c>
      <c r="F269" t="s">
        <v>250</v>
      </c>
      <c r="G269">
        <v>28999</v>
      </c>
      <c r="H269">
        <v>25762</v>
      </c>
      <c r="I269">
        <v>211</v>
      </c>
      <c r="J269">
        <v>15002</v>
      </c>
      <c r="K269">
        <f>Table1[[#This Row],[AsrTot]]-Table1[[#This Row],[BrdTot]]</f>
        <v>3237</v>
      </c>
    </row>
    <row r="270" spans="1:11" x14ac:dyDescent="0.55000000000000004">
      <c r="A270" t="s">
        <v>619</v>
      </c>
      <c r="B270" t="s">
        <v>620</v>
      </c>
      <c r="C270" t="s">
        <v>12</v>
      </c>
      <c r="D270" t="s">
        <v>13</v>
      </c>
      <c r="E270" t="s">
        <v>14</v>
      </c>
      <c r="F270" t="s">
        <v>620</v>
      </c>
      <c r="G270">
        <v>33000</v>
      </c>
      <c r="H270">
        <v>29739</v>
      </c>
      <c r="I270">
        <v>205</v>
      </c>
      <c r="J270">
        <v>11001</v>
      </c>
      <c r="K270">
        <f>Table1[[#This Row],[AsrTot]]-Table1[[#This Row],[BrdTot]]</f>
        <v>3261</v>
      </c>
    </row>
    <row r="271" spans="1:11" x14ac:dyDescent="0.55000000000000004">
      <c r="A271" t="s">
        <v>171</v>
      </c>
      <c r="B271" t="s">
        <v>172</v>
      </c>
      <c r="C271" t="s">
        <v>12</v>
      </c>
      <c r="D271" t="s">
        <v>13</v>
      </c>
      <c r="E271" t="s">
        <v>14</v>
      </c>
      <c r="F271" t="s">
        <v>172</v>
      </c>
      <c r="G271">
        <v>25999</v>
      </c>
      <c r="H271">
        <v>22737</v>
      </c>
      <c r="I271">
        <v>211</v>
      </c>
      <c r="J271">
        <v>15001</v>
      </c>
      <c r="K271">
        <f>Table1[[#This Row],[AsrTot]]-Table1[[#This Row],[BrdTot]]</f>
        <v>3262</v>
      </c>
    </row>
    <row r="272" spans="1:11" x14ac:dyDescent="0.55000000000000004">
      <c r="A272" t="s">
        <v>305</v>
      </c>
      <c r="B272" t="s">
        <v>306</v>
      </c>
      <c r="C272" t="s">
        <v>12</v>
      </c>
      <c r="D272" t="s">
        <v>13</v>
      </c>
      <c r="E272" t="s">
        <v>14</v>
      </c>
      <c r="F272" t="s">
        <v>306</v>
      </c>
      <c r="G272">
        <v>26999</v>
      </c>
      <c r="H272">
        <v>23735</v>
      </c>
      <c r="I272">
        <v>211</v>
      </c>
      <c r="J272">
        <v>15001</v>
      </c>
      <c r="K272">
        <f>Table1[[#This Row],[AsrTot]]-Table1[[#This Row],[BrdTot]]</f>
        <v>3264</v>
      </c>
    </row>
    <row r="273" spans="1:11" x14ac:dyDescent="0.55000000000000004">
      <c r="A273" t="s">
        <v>510</v>
      </c>
      <c r="B273" t="s">
        <v>511</v>
      </c>
      <c r="C273" t="s">
        <v>12</v>
      </c>
      <c r="D273" t="s">
        <v>13</v>
      </c>
      <c r="E273" t="s">
        <v>14</v>
      </c>
      <c r="F273" t="s">
        <v>511</v>
      </c>
      <c r="G273">
        <v>30410</v>
      </c>
      <c r="H273">
        <v>27130</v>
      </c>
      <c r="I273">
        <v>211</v>
      </c>
      <c r="J273">
        <v>11002</v>
      </c>
      <c r="K273">
        <f>Table1[[#This Row],[AsrTot]]-Table1[[#This Row],[BrdTot]]</f>
        <v>3280</v>
      </c>
    </row>
    <row r="274" spans="1:11" x14ac:dyDescent="0.55000000000000004">
      <c r="A274" t="s">
        <v>363</v>
      </c>
      <c r="B274" t="s">
        <v>364</v>
      </c>
      <c r="C274" t="s">
        <v>12</v>
      </c>
      <c r="D274" t="s">
        <v>13</v>
      </c>
      <c r="E274" t="s">
        <v>14</v>
      </c>
      <c r="F274" t="s">
        <v>364</v>
      </c>
      <c r="G274">
        <v>27999</v>
      </c>
      <c r="H274">
        <v>24687</v>
      </c>
      <c r="I274">
        <v>211</v>
      </c>
      <c r="J274">
        <v>15001</v>
      </c>
      <c r="K274">
        <f>Table1[[#This Row],[AsrTot]]-Table1[[#This Row],[BrdTot]]</f>
        <v>3312</v>
      </c>
    </row>
    <row r="275" spans="1:11" x14ac:dyDescent="0.55000000000000004">
      <c r="A275" t="s">
        <v>470</v>
      </c>
      <c r="B275" t="s">
        <v>471</v>
      </c>
      <c r="C275" t="s">
        <v>12</v>
      </c>
      <c r="D275" t="s">
        <v>13</v>
      </c>
      <c r="E275" t="s">
        <v>14</v>
      </c>
      <c r="F275" t="s">
        <v>471</v>
      </c>
      <c r="G275">
        <v>37000</v>
      </c>
      <c r="H275">
        <v>33646</v>
      </c>
      <c r="I275">
        <v>211</v>
      </c>
      <c r="J275">
        <v>15001</v>
      </c>
      <c r="K275">
        <f>Table1[[#This Row],[AsrTot]]-Table1[[#This Row],[BrdTot]]</f>
        <v>3354</v>
      </c>
    </row>
    <row r="276" spans="1:11" x14ac:dyDescent="0.55000000000000004">
      <c r="A276" t="s">
        <v>343</v>
      </c>
      <c r="B276" t="s">
        <v>344</v>
      </c>
      <c r="C276" t="s">
        <v>12</v>
      </c>
      <c r="D276" t="s">
        <v>13</v>
      </c>
      <c r="E276" t="s">
        <v>14</v>
      </c>
      <c r="F276" t="s">
        <v>344</v>
      </c>
      <c r="G276">
        <v>20999</v>
      </c>
      <c r="H276">
        <v>17644</v>
      </c>
      <c r="I276">
        <v>203</v>
      </c>
      <c r="J276">
        <v>15001</v>
      </c>
      <c r="K276">
        <f>Table1[[#This Row],[AsrTot]]-Table1[[#This Row],[BrdTot]]</f>
        <v>3355</v>
      </c>
    </row>
    <row r="277" spans="1:11" x14ac:dyDescent="0.55000000000000004">
      <c r="A277" t="s">
        <v>561</v>
      </c>
      <c r="B277" t="s">
        <v>562</v>
      </c>
      <c r="C277" t="s">
        <v>12</v>
      </c>
      <c r="D277" t="s">
        <v>13</v>
      </c>
      <c r="E277" t="s">
        <v>14</v>
      </c>
      <c r="F277" t="s">
        <v>562</v>
      </c>
      <c r="G277">
        <v>28999</v>
      </c>
      <c r="H277">
        <v>25635</v>
      </c>
      <c r="I277">
        <v>211</v>
      </c>
      <c r="J277">
        <v>15001</v>
      </c>
      <c r="K277">
        <f>Table1[[#This Row],[AsrTot]]-Table1[[#This Row],[BrdTot]]</f>
        <v>3364</v>
      </c>
    </row>
    <row r="278" spans="1:11" x14ac:dyDescent="0.55000000000000004">
      <c r="A278" t="s">
        <v>33</v>
      </c>
      <c r="B278" t="s">
        <v>34</v>
      </c>
      <c r="C278" t="s">
        <v>12</v>
      </c>
      <c r="D278" t="s">
        <v>13</v>
      </c>
      <c r="E278" t="s">
        <v>14</v>
      </c>
      <c r="F278" t="s">
        <v>34</v>
      </c>
      <c r="G278">
        <v>32000</v>
      </c>
      <c r="H278">
        <v>28610</v>
      </c>
      <c r="I278">
        <v>211</v>
      </c>
      <c r="J278">
        <v>15001</v>
      </c>
      <c r="K278">
        <f>Table1[[#This Row],[AsrTot]]-Table1[[#This Row],[BrdTot]]</f>
        <v>3390</v>
      </c>
    </row>
    <row r="279" spans="1:11" x14ac:dyDescent="0.55000000000000004">
      <c r="A279" t="s">
        <v>173</v>
      </c>
      <c r="B279" t="s">
        <v>174</v>
      </c>
      <c r="C279" t="s">
        <v>12</v>
      </c>
      <c r="D279" t="s">
        <v>13</v>
      </c>
      <c r="E279" t="s">
        <v>14</v>
      </c>
      <c r="F279" t="s">
        <v>174</v>
      </c>
      <c r="G279">
        <v>30000</v>
      </c>
      <c r="H279">
        <v>26609</v>
      </c>
      <c r="I279">
        <v>211</v>
      </c>
      <c r="J279">
        <v>15001</v>
      </c>
      <c r="K279">
        <f>Table1[[#This Row],[AsrTot]]-Table1[[#This Row],[BrdTot]]</f>
        <v>3391</v>
      </c>
    </row>
    <row r="280" spans="1:11" x14ac:dyDescent="0.55000000000000004">
      <c r="A280" t="s">
        <v>512</v>
      </c>
      <c r="B280" t="s">
        <v>513</v>
      </c>
      <c r="C280" t="s">
        <v>12</v>
      </c>
      <c r="D280" t="s">
        <v>13</v>
      </c>
      <c r="E280" t="s">
        <v>14</v>
      </c>
      <c r="F280" t="s">
        <v>513</v>
      </c>
      <c r="G280">
        <v>26999</v>
      </c>
      <c r="H280">
        <v>23600</v>
      </c>
      <c r="I280">
        <v>203</v>
      </c>
      <c r="J280">
        <v>11002</v>
      </c>
      <c r="K280">
        <f>Table1[[#This Row],[AsrTot]]-Table1[[#This Row],[BrdTot]]</f>
        <v>3399</v>
      </c>
    </row>
    <row r="281" spans="1:11" x14ac:dyDescent="0.55000000000000004">
      <c r="A281" t="s">
        <v>436</v>
      </c>
      <c r="B281" t="s">
        <v>437</v>
      </c>
      <c r="C281" t="s">
        <v>12</v>
      </c>
      <c r="D281" t="s">
        <v>13</v>
      </c>
      <c r="E281" t="s">
        <v>14</v>
      </c>
      <c r="F281" t="s">
        <v>437</v>
      </c>
      <c r="G281">
        <v>30999</v>
      </c>
      <c r="H281">
        <v>27565</v>
      </c>
      <c r="I281">
        <v>211</v>
      </c>
      <c r="J281">
        <v>15001</v>
      </c>
      <c r="K281">
        <f>Table1[[#This Row],[AsrTot]]-Table1[[#This Row],[BrdTot]]</f>
        <v>3434</v>
      </c>
    </row>
    <row r="282" spans="1:11" x14ac:dyDescent="0.55000000000000004">
      <c r="A282" t="s">
        <v>235</v>
      </c>
      <c r="B282" t="s">
        <v>236</v>
      </c>
      <c r="C282" t="s">
        <v>12</v>
      </c>
      <c r="D282" t="s">
        <v>13</v>
      </c>
      <c r="E282" t="s">
        <v>14</v>
      </c>
      <c r="F282" t="s">
        <v>236</v>
      </c>
      <c r="G282">
        <v>32000</v>
      </c>
      <c r="H282">
        <v>28551</v>
      </c>
      <c r="I282">
        <v>211</v>
      </c>
      <c r="J282">
        <v>15001</v>
      </c>
      <c r="K282">
        <f>Table1[[#This Row],[AsrTot]]-Table1[[#This Row],[BrdTot]]</f>
        <v>3449</v>
      </c>
    </row>
    <row r="283" spans="1:11" x14ac:dyDescent="0.55000000000000004">
      <c r="A283" t="s">
        <v>97</v>
      </c>
      <c r="B283" t="s">
        <v>98</v>
      </c>
      <c r="C283" t="s">
        <v>12</v>
      </c>
      <c r="D283" t="s">
        <v>13</v>
      </c>
      <c r="E283" t="s">
        <v>14</v>
      </c>
      <c r="F283" t="s">
        <v>98</v>
      </c>
      <c r="G283">
        <v>26999</v>
      </c>
      <c r="H283">
        <v>23493</v>
      </c>
      <c r="I283">
        <v>203</v>
      </c>
      <c r="J283">
        <v>11002</v>
      </c>
      <c r="K283">
        <f>Table1[[#This Row],[AsrTot]]-Table1[[#This Row],[BrdTot]]</f>
        <v>3506</v>
      </c>
    </row>
    <row r="284" spans="1:11" x14ac:dyDescent="0.55000000000000004">
      <c r="A284" t="s">
        <v>131</v>
      </c>
      <c r="B284" t="s">
        <v>132</v>
      </c>
      <c r="C284" t="s">
        <v>12</v>
      </c>
      <c r="D284" t="s">
        <v>13</v>
      </c>
      <c r="E284" t="s">
        <v>14</v>
      </c>
      <c r="F284" t="s">
        <v>132</v>
      </c>
      <c r="G284">
        <v>25999</v>
      </c>
      <c r="H284">
        <v>22437</v>
      </c>
      <c r="I284">
        <v>203</v>
      </c>
      <c r="J284">
        <v>15001</v>
      </c>
      <c r="K284">
        <f>Table1[[#This Row],[AsrTot]]-Table1[[#This Row],[BrdTot]]</f>
        <v>3562</v>
      </c>
    </row>
    <row r="285" spans="1:11" x14ac:dyDescent="0.55000000000000004">
      <c r="A285" t="s">
        <v>221</v>
      </c>
      <c r="B285" t="s">
        <v>222</v>
      </c>
      <c r="C285" t="s">
        <v>12</v>
      </c>
      <c r="D285" t="s">
        <v>13</v>
      </c>
      <c r="E285" t="s">
        <v>14</v>
      </c>
      <c r="F285" t="s">
        <v>222</v>
      </c>
      <c r="G285">
        <v>21999</v>
      </c>
      <c r="H285">
        <v>18371</v>
      </c>
      <c r="I285">
        <v>211</v>
      </c>
      <c r="J285">
        <v>15002</v>
      </c>
      <c r="K285">
        <f>Table1[[#This Row],[AsrTot]]-Table1[[#This Row],[BrdTot]]</f>
        <v>3628</v>
      </c>
    </row>
    <row r="286" spans="1:11" x14ac:dyDescent="0.55000000000000004">
      <c r="A286" t="s">
        <v>73</v>
      </c>
      <c r="B286" t="s">
        <v>74</v>
      </c>
      <c r="C286" t="s">
        <v>12</v>
      </c>
      <c r="D286" t="s">
        <v>13</v>
      </c>
      <c r="E286" t="s">
        <v>14</v>
      </c>
      <c r="F286" t="s">
        <v>74</v>
      </c>
      <c r="G286">
        <v>29999</v>
      </c>
      <c r="H286">
        <v>26363</v>
      </c>
      <c r="I286">
        <v>203</v>
      </c>
      <c r="J286">
        <v>11002</v>
      </c>
      <c r="K286">
        <f>Table1[[#This Row],[AsrTot]]-Table1[[#This Row],[BrdTot]]</f>
        <v>3636</v>
      </c>
    </row>
    <row r="287" spans="1:11" x14ac:dyDescent="0.55000000000000004">
      <c r="A287" t="s">
        <v>559</v>
      </c>
      <c r="B287" t="s">
        <v>560</v>
      </c>
      <c r="C287" t="s">
        <v>12</v>
      </c>
      <c r="D287" t="s">
        <v>13</v>
      </c>
      <c r="E287" t="s">
        <v>14</v>
      </c>
      <c r="F287" t="s">
        <v>560</v>
      </c>
      <c r="G287">
        <v>29600</v>
      </c>
      <c r="H287">
        <v>25950</v>
      </c>
      <c r="I287">
        <v>211</v>
      </c>
      <c r="J287">
        <v>15001</v>
      </c>
      <c r="K287">
        <f>Table1[[#This Row],[AsrTot]]-Table1[[#This Row],[BrdTot]]</f>
        <v>3650</v>
      </c>
    </row>
    <row r="288" spans="1:11" x14ac:dyDescent="0.55000000000000004">
      <c r="A288" t="s">
        <v>603</v>
      </c>
      <c r="B288" t="s">
        <v>604</v>
      </c>
      <c r="C288" t="s">
        <v>12</v>
      </c>
      <c r="D288" t="s">
        <v>13</v>
      </c>
      <c r="E288" t="s">
        <v>14</v>
      </c>
      <c r="F288" t="s">
        <v>604</v>
      </c>
      <c r="G288">
        <v>24999</v>
      </c>
      <c r="H288">
        <v>21345</v>
      </c>
      <c r="I288">
        <v>211</v>
      </c>
      <c r="J288">
        <v>15002</v>
      </c>
      <c r="K288">
        <f>Table1[[#This Row],[AsrTot]]-Table1[[#This Row],[BrdTot]]</f>
        <v>3654</v>
      </c>
    </row>
    <row r="289" spans="1:11" x14ac:dyDescent="0.55000000000000004">
      <c r="A289" t="s">
        <v>211</v>
      </c>
      <c r="B289" t="s">
        <v>212</v>
      </c>
      <c r="C289" t="s">
        <v>12</v>
      </c>
      <c r="D289" t="s">
        <v>13</v>
      </c>
      <c r="E289" t="s">
        <v>14</v>
      </c>
      <c r="F289" t="s">
        <v>212</v>
      </c>
      <c r="G289">
        <v>27999</v>
      </c>
      <c r="H289">
        <v>24319</v>
      </c>
      <c r="I289">
        <v>211</v>
      </c>
      <c r="J289">
        <v>15001</v>
      </c>
      <c r="K289">
        <f>Table1[[#This Row],[AsrTot]]-Table1[[#This Row],[BrdTot]]</f>
        <v>3680</v>
      </c>
    </row>
    <row r="290" spans="1:11" x14ac:dyDescent="0.55000000000000004">
      <c r="A290" t="s">
        <v>75</v>
      </c>
      <c r="B290" t="s">
        <v>76</v>
      </c>
      <c r="C290" t="s">
        <v>12</v>
      </c>
      <c r="D290" t="s">
        <v>13</v>
      </c>
      <c r="E290" t="s">
        <v>14</v>
      </c>
      <c r="F290" t="s">
        <v>76</v>
      </c>
      <c r="G290">
        <v>26999</v>
      </c>
      <c r="H290">
        <v>23302</v>
      </c>
      <c r="I290">
        <v>203</v>
      </c>
      <c r="J290">
        <v>11002</v>
      </c>
      <c r="K290">
        <f>Table1[[#This Row],[AsrTot]]-Table1[[#This Row],[BrdTot]]</f>
        <v>3697</v>
      </c>
    </row>
    <row r="291" spans="1:11" x14ac:dyDescent="0.55000000000000004">
      <c r="A291" t="s">
        <v>81</v>
      </c>
      <c r="B291" t="s">
        <v>82</v>
      </c>
      <c r="C291" t="s">
        <v>12</v>
      </c>
      <c r="D291" t="s">
        <v>13</v>
      </c>
      <c r="E291" t="s">
        <v>14</v>
      </c>
      <c r="F291" t="s">
        <v>82</v>
      </c>
      <c r="G291">
        <v>27999</v>
      </c>
      <c r="H291">
        <v>24246</v>
      </c>
      <c r="I291">
        <v>205</v>
      </c>
      <c r="J291">
        <v>11002</v>
      </c>
      <c r="K291">
        <f>Table1[[#This Row],[AsrTot]]-Table1[[#This Row],[BrdTot]]</f>
        <v>3753</v>
      </c>
    </row>
    <row r="292" spans="1:11" x14ac:dyDescent="0.55000000000000004">
      <c r="A292" t="s">
        <v>313</v>
      </c>
      <c r="B292" t="s">
        <v>314</v>
      </c>
      <c r="C292" t="s">
        <v>12</v>
      </c>
      <c r="D292" t="s">
        <v>13</v>
      </c>
      <c r="E292" t="s">
        <v>14</v>
      </c>
      <c r="F292" t="s">
        <v>314</v>
      </c>
      <c r="G292">
        <v>21999</v>
      </c>
      <c r="H292">
        <v>18245</v>
      </c>
      <c r="I292">
        <v>202</v>
      </c>
      <c r="J292">
        <v>15002</v>
      </c>
      <c r="K292">
        <f>Table1[[#This Row],[AsrTot]]-Table1[[#This Row],[BrdTot]]</f>
        <v>3754</v>
      </c>
    </row>
    <row r="293" spans="1:11" x14ac:dyDescent="0.55000000000000004">
      <c r="A293" t="s">
        <v>139</v>
      </c>
      <c r="B293" t="s">
        <v>140</v>
      </c>
      <c r="C293" t="s">
        <v>12</v>
      </c>
      <c r="D293" t="s">
        <v>13</v>
      </c>
      <c r="E293" t="s">
        <v>14</v>
      </c>
      <c r="F293" t="s">
        <v>140</v>
      </c>
      <c r="G293">
        <v>21999</v>
      </c>
      <c r="H293">
        <v>18234</v>
      </c>
      <c r="I293">
        <v>205</v>
      </c>
      <c r="J293">
        <v>15001</v>
      </c>
      <c r="K293">
        <f>Table1[[#This Row],[AsrTot]]-Table1[[#This Row],[BrdTot]]</f>
        <v>3765</v>
      </c>
    </row>
    <row r="294" spans="1:11" x14ac:dyDescent="0.55000000000000004">
      <c r="A294" t="s">
        <v>398</v>
      </c>
      <c r="B294" t="s">
        <v>399</v>
      </c>
      <c r="C294" t="s">
        <v>12</v>
      </c>
      <c r="D294" t="s">
        <v>13</v>
      </c>
      <c r="E294" t="s">
        <v>14</v>
      </c>
      <c r="F294" t="s">
        <v>399</v>
      </c>
      <c r="G294">
        <v>30999</v>
      </c>
      <c r="H294">
        <v>27232</v>
      </c>
      <c r="I294">
        <v>204</v>
      </c>
      <c r="J294">
        <v>15002</v>
      </c>
      <c r="K294">
        <f>Table1[[#This Row],[AsrTot]]-Table1[[#This Row],[BrdTot]]</f>
        <v>3767</v>
      </c>
    </row>
    <row r="295" spans="1:11" x14ac:dyDescent="0.55000000000000004">
      <c r="A295" t="s">
        <v>56</v>
      </c>
      <c r="B295" t="s">
        <v>57</v>
      </c>
      <c r="C295" t="s">
        <v>12</v>
      </c>
      <c r="D295" t="s">
        <v>13</v>
      </c>
      <c r="E295" t="s">
        <v>14</v>
      </c>
      <c r="F295" t="s">
        <v>57</v>
      </c>
      <c r="G295">
        <v>32000</v>
      </c>
      <c r="H295">
        <v>28151</v>
      </c>
      <c r="I295">
        <v>211</v>
      </c>
      <c r="J295">
        <v>11001</v>
      </c>
      <c r="K295">
        <f>Table1[[#This Row],[AsrTot]]-Table1[[#This Row],[BrdTot]]</f>
        <v>3849</v>
      </c>
    </row>
    <row r="296" spans="1:11" x14ac:dyDescent="0.55000000000000004">
      <c r="A296" t="s">
        <v>155</v>
      </c>
      <c r="B296" t="s">
        <v>156</v>
      </c>
      <c r="C296" t="s">
        <v>12</v>
      </c>
      <c r="D296" t="s">
        <v>13</v>
      </c>
      <c r="E296" t="s">
        <v>14</v>
      </c>
      <c r="F296" t="s">
        <v>156</v>
      </c>
      <c r="G296">
        <v>19999</v>
      </c>
      <c r="H296">
        <v>16149</v>
      </c>
      <c r="I296">
        <v>202</v>
      </c>
      <c r="J296">
        <v>15001</v>
      </c>
      <c r="K296">
        <f>Table1[[#This Row],[AsrTot]]-Table1[[#This Row],[BrdTot]]</f>
        <v>3850</v>
      </c>
    </row>
    <row r="297" spans="1:11" x14ac:dyDescent="0.55000000000000004">
      <c r="A297" t="s">
        <v>371</v>
      </c>
      <c r="B297" t="s">
        <v>372</v>
      </c>
      <c r="C297" t="s">
        <v>12</v>
      </c>
      <c r="D297" t="s">
        <v>13</v>
      </c>
      <c r="E297" t="s">
        <v>14</v>
      </c>
      <c r="F297" t="s">
        <v>372</v>
      </c>
      <c r="G297">
        <v>27999</v>
      </c>
      <c r="H297">
        <v>24140</v>
      </c>
      <c r="I297">
        <v>211</v>
      </c>
      <c r="J297">
        <v>15001</v>
      </c>
      <c r="K297">
        <f>Table1[[#This Row],[AsrTot]]-Table1[[#This Row],[BrdTot]]</f>
        <v>3859</v>
      </c>
    </row>
    <row r="298" spans="1:11" x14ac:dyDescent="0.55000000000000004">
      <c r="A298" t="s">
        <v>458</v>
      </c>
      <c r="B298" t="s">
        <v>459</v>
      </c>
      <c r="C298" t="s">
        <v>12</v>
      </c>
      <c r="D298" t="s">
        <v>13</v>
      </c>
      <c r="E298" t="s">
        <v>14</v>
      </c>
      <c r="F298" t="s">
        <v>459</v>
      </c>
      <c r="G298">
        <v>36999</v>
      </c>
      <c r="H298">
        <v>33083</v>
      </c>
      <c r="I298">
        <v>212</v>
      </c>
      <c r="J298">
        <v>15001</v>
      </c>
      <c r="K298">
        <f>Table1[[#This Row],[AsrTot]]-Table1[[#This Row],[BrdTot]]</f>
        <v>3916</v>
      </c>
    </row>
    <row r="299" spans="1:11" x14ac:dyDescent="0.55000000000000004">
      <c r="A299" t="s">
        <v>217</v>
      </c>
      <c r="B299" t="s">
        <v>218</v>
      </c>
      <c r="C299" t="s">
        <v>12</v>
      </c>
      <c r="D299" t="s">
        <v>13</v>
      </c>
      <c r="E299" t="s">
        <v>14</v>
      </c>
      <c r="F299" t="s">
        <v>218</v>
      </c>
      <c r="G299">
        <v>27999</v>
      </c>
      <c r="H299">
        <v>24049</v>
      </c>
      <c r="I299">
        <v>211</v>
      </c>
      <c r="J299">
        <v>15001</v>
      </c>
      <c r="K299">
        <f>Table1[[#This Row],[AsrTot]]-Table1[[#This Row],[BrdTot]]</f>
        <v>3950</v>
      </c>
    </row>
    <row r="300" spans="1:11" x14ac:dyDescent="0.55000000000000004">
      <c r="A300" t="s">
        <v>177</v>
      </c>
      <c r="B300" t="s">
        <v>178</v>
      </c>
      <c r="C300" t="s">
        <v>12</v>
      </c>
      <c r="D300" t="s">
        <v>13</v>
      </c>
      <c r="E300" t="s">
        <v>14</v>
      </c>
      <c r="F300" t="s">
        <v>178</v>
      </c>
      <c r="G300">
        <v>22999</v>
      </c>
      <c r="H300">
        <v>19020</v>
      </c>
      <c r="I300">
        <v>203</v>
      </c>
      <c r="J300">
        <v>15001</v>
      </c>
      <c r="K300">
        <f>Table1[[#This Row],[AsrTot]]-Table1[[#This Row],[BrdTot]]</f>
        <v>3979</v>
      </c>
    </row>
    <row r="301" spans="1:11" x14ac:dyDescent="0.55000000000000004">
      <c r="A301" t="s">
        <v>137</v>
      </c>
      <c r="B301" t="s">
        <v>138</v>
      </c>
      <c r="C301" t="s">
        <v>12</v>
      </c>
      <c r="D301" t="s">
        <v>13</v>
      </c>
      <c r="E301" t="s">
        <v>14</v>
      </c>
      <c r="F301" t="s">
        <v>138</v>
      </c>
      <c r="G301">
        <v>37500</v>
      </c>
      <c r="H301">
        <v>33478</v>
      </c>
      <c r="I301">
        <v>211</v>
      </c>
      <c r="J301">
        <v>15001</v>
      </c>
      <c r="K301">
        <f>Table1[[#This Row],[AsrTot]]-Table1[[#This Row],[BrdTot]]</f>
        <v>4022</v>
      </c>
    </row>
    <row r="302" spans="1:11" x14ac:dyDescent="0.55000000000000004">
      <c r="A302" t="s">
        <v>577</v>
      </c>
      <c r="B302" t="s">
        <v>578</v>
      </c>
      <c r="C302" t="s">
        <v>12</v>
      </c>
      <c r="D302" t="s">
        <v>13</v>
      </c>
      <c r="E302" t="s">
        <v>14</v>
      </c>
      <c r="F302" t="s">
        <v>578</v>
      </c>
      <c r="G302">
        <v>25999</v>
      </c>
      <c r="H302">
        <v>21910</v>
      </c>
      <c r="I302">
        <v>211</v>
      </c>
      <c r="J302">
        <v>15001</v>
      </c>
      <c r="K302">
        <f>Table1[[#This Row],[AsrTot]]-Table1[[#This Row],[BrdTot]]</f>
        <v>4089</v>
      </c>
    </row>
    <row r="303" spans="1:11" x14ac:dyDescent="0.55000000000000004">
      <c r="A303" t="s">
        <v>309</v>
      </c>
      <c r="B303" t="s">
        <v>310</v>
      </c>
      <c r="C303" t="s">
        <v>12</v>
      </c>
      <c r="D303" t="s">
        <v>13</v>
      </c>
      <c r="E303" t="s">
        <v>14</v>
      </c>
      <c r="F303" t="s">
        <v>310</v>
      </c>
      <c r="G303">
        <v>21800</v>
      </c>
      <c r="H303">
        <v>17632</v>
      </c>
      <c r="I303">
        <v>203</v>
      </c>
      <c r="J303">
        <v>15001</v>
      </c>
      <c r="K303">
        <f>Table1[[#This Row],[AsrTot]]-Table1[[#This Row],[BrdTot]]</f>
        <v>4168</v>
      </c>
    </row>
    <row r="304" spans="1:11" x14ac:dyDescent="0.55000000000000004">
      <c r="A304" t="s">
        <v>579</v>
      </c>
      <c r="B304" t="s">
        <v>580</v>
      </c>
      <c r="C304" t="s">
        <v>12</v>
      </c>
      <c r="D304" t="s">
        <v>13</v>
      </c>
      <c r="E304" t="s">
        <v>14</v>
      </c>
      <c r="F304" t="s">
        <v>580</v>
      </c>
      <c r="G304">
        <v>25000</v>
      </c>
      <c r="H304">
        <v>20821</v>
      </c>
      <c r="I304">
        <v>203</v>
      </c>
      <c r="J304">
        <v>15001</v>
      </c>
      <c r="K304">
        <f>Table1[[#This Row],[AsrTot]]-Table1[[#This Row],[BrdTot]]</f>
        <v>4179</v>
      </c>
    </row>
    <row r="305" spans="1:11" x14ac:dyDescent="0.55000000000000004">
      <c r="A305" t="s">
        <v>37</v>
      </c>
      <c r="B305" t="s">
        <v>38</v>
      </c>
      <c r="C305" t="s">
        <v>12</v>
      </c>
      <c r="D305" t="s">
        <v>13</v>
      </c>
      <c r="E305" t="s">
        <v>14</v>
      </c>
      <c r="F305" t="s">
        <v>38</v>
      </c>
      <c r="G305">
        <v>56858</v>
      </c>
      <c r="H305">
        <v>52656</v>
      </c>
      <c r="I305">
        <v>211</v>
      </c>
      <c r="J305">
        <v>33001</v>
      </c>
      <c r="K305">
        <f>Table1[[#This Row],[AsrTot]]-Table1[[#This Row],[BrdTot]]</f>
        <v>4202</v>
      </c>
    </row>
    <row r="306" spans="1:11" x14ac:dyDescent="0.55000000000000004">
      <c r="A306" t="s">
        <v>494</v>
      </c>
      <c r="B306" t="s">
        <v>495</v>
      </c>
      <c r="C306" t="s">
        <v>12</v>
      </c>
      <c r="D306" t="s">
        <v>13</v>
      </c>
      <c r="E306" t="s">
        <v>14</v>
      </c>
      <c r="F306" t="s">
        <v>495</v>
      </c>
      <c r="G306">
        <v>31999</v>
      </c>
      <c r="H306">
        <v>27777</v>
      </c>
      <c r="I306">
        <v>211</v>
      </c>
      <c r="J306">
        <v>15001</v>
      </c>
      <c r="K306">
        <f>Table1[[#This Row],[AsrTot]]-Table1[[#This Row],[BrdTot]]</f>
        <v>4222</v>
      </c>
    </row>
    <row r="307" spans="1:11" x14ac:dyDescent="0.55000000000000004">
      <c r="A307" t="s">
        <v>448</v>
      </c>
      <c r="B307" t="s">
        <v>449</v>
      </c>
      <c r="C307" t="s">
        <v>12</v>
      </c>
      <c r="D307" t="s">
        <v>13</v>
      </c>
      <c r="E307" t="s">
        <v>14</v>
      </c>
      <c r="F307" t="s">
        <v>449</v>
      </c>
      <c r="G307">
        <v>31999</v>
      </c>
      <c r="H307">
        <v>27720</v>
      </c>
      <c r="I307">
        <v>203</v>
      </c>
      <c r="J307">
        <v>11002</v>
      </c>
      <c r="K307">
        <f>Table1[[#This Row],[AsrTot]]-Table1[[#This Row],[BrdTot]]</f>
        <v>4279</v>
      </c>
    </row>
    <row r="308" spans="1:11" x14ac:dyDescent="0.55000000000000004">
      <c r="A308" t="s">
        <v>482</v>
      </c>
      <c r="B308" t="s">
        <v>483</v>
      </c>
      <c r="C308" t="s">
        <v>12</v>
      </c>
      <c r="D308" t="s">
        <v>13</v>
      </c>
      <c r="E308" t="s">
        <v>14</v>
      </c>
      <c r="F308" t="s">
        <v>483</v>
      </c>
      <c r="G308">
        <v>21999</v>
      </c>
      <c r="H308">
        <v>17697</v>
      </c>
      <c r="I308">
        <v>203</v>
      </c>
      <c r="J308">
        <v>15001</v>
      </c>
      <c r="K308">
        <f>Table1[[#This Row],[AsrTot]]-Table1[[#This Row],[BrdTot]]</f>
        <v>4302</v>
      </c>
    </row>
    <row r="309" spans="1:11" x14ac:dyDescent="0.55000000000000004">
      <c r="A309" t="s">
        <v>233</v>
      </c>
      <c r="B309" t="s">
        <v>234</v>
      </c>
      <c r="C309" t="s">
        <v>12</v>
      </c>
      <c r="D309" t="s">
        <v>13</v>
      </c>
      <c r="E309" t="s">
        <v>14</v>
      </c>
      <c r="F309" t="s">
        <v>234</v>
      </c>
      <c r="G309">
        <v>21999</v>
      </c>
      <c r="H309">
        <v>17663</v>
      </c>
      <c r="I309">
        <v>203</v>
      </c>
      <c r="J309">
        <v>15001</v>
      </c>
      <c r="K309">
        <f>Table1[[#This Row],[AsrTot]]-Table1[[#This Row],[BrdTot]]</f>
        <v>4336</v>
      </c>
    </row>
    <row r="310" spans="1:11" x14ac:dyDescent="0.55000000000000004">
      <c r="A310" t="s">
        <v>31</v>
      </c>
      <c r="B310" t="s">
        <v>32</v>
      </c>
      <c r="C310" t="s">
        <v>12</v>
      </c>
      <c r="D310" t="s">
        <v>13</v>
      </c>
      <c r="E310" t="s">
        <v>14</v>
      </c>
      <c r="F310" t="s">
        <v>32</v>
      </c>
      <c r="G310">
        <v>36128</v>
      </c>
      <c r="H310">
        <v>31723</v>
      </c>
      <c r="I310">
        <v>206</v>
      </c>
      <c r="J310">
        <v>11002</v>
      </c>
      <c r="K310">
        <f>Table1[[#This Row],[AsrTot]]-Table1[[#This Row],[BrdTot]]</f>
        <v>4405</v>
      </c>
    </row>
    <row r="311" spans="1:11" x14ac:dyDescent="0.55000000000000004">
      <c r="A311" t="s">
        <v>506</v>
      </c>
      <c r="B311" t="s">
        <v>507</v>
      </c>
      <c r="C311" t="s">
        <v>12</v>
      </c>
      <c r="D311" t="s">
        <v>13</v>
      </c>
      <c r="E311" t="s">
        <v>14</v>
      </c>
      <c r="F311" t="s">
        <v>507</v>
      </c>
      <c r="G311">
        <v>58998</v>
      </c>
      <c r="H311">
        <v>54318</v>
      </c>
      <c r="I311">
        <v>211</v>
      </c>
      <c r="J311">
        <v>15001</v>
      </c>
      <c r="K311">
        <f>Table1[[#This Row],[AsrTot]]-Table1[[#This Row],[BrdTot]]</f>
        <v>4680</v>
      </c>
    </row>
    <row r="312" spans="1:11" x14ac:dyDescent="0.55000000000000004">
      <c r="A312" t="s">
        <v>255</v>
      </c>
      <c r="B312" t="s">
        <v>256</v>
      </c>
      <c r="C312" t="s">
        <v>12</v>
      </c>
      <c r="D312" t="s">
        <v>13</v>
      </c>
      <c r="E312" t="s">
        <v>14</v>
      </c>
      <c r="F312" t="s">
        <v>256</v>
      </c>
      <c r="G312">
        <v>29999</v>
      </c>
      <c r="H312">
        <v>25222</v>
      </c>
      <c r="I312">
        <v>211</v>
      </c>
      <c r="J312">
        <v>15001</v>
      </c>
      <c r="K312">
        <f>Table1[[#This Row],[AsrTot]]-Table1[[#This Row],[BrdTot]]</f>
        <v>4777</v>
      </c>
    </row>
    <row r="313" spans="1:11" x14ac:dyDescent="0.55000000000000004">
      <c r="A313" t="s">
        <v>119</v>
      </c>
      <c r="B313" t="s">
        <v>120</v>
      </c>
      <c r="C313" t="s">
        <v>12</v>
      </c>
      <c r="D313" t="s">
        <v>13</v>
      </c>
      <c r="E313" t="s">
        <v>14</v>
      </c>
      <c r="F313" t="s">
        <v>120</v>
      </c>
      <c r="G313">
        <v>21999</v>
      </c>
      <c r="H313">
        <v>17111</v>
      </c>
      <c r="I313">
        <v>203</v>
      </c>
      <c r="J313">
        <v>15001</v>
      </c>
      <c r="K313">
        <f>Table1[[#This Row],[AsrTot]]-Table1[[#This Row],[BrdTot]]</f>
        <v>4888</v>
      </c>
    </row>
    <row r="314" spans="1:11" x14ac:dyDescent="0.55000000000000004">
      <c r="A314" t="s">
        <v>43</v>
      </c>
      <c r="B314" t="s">
        <v>44</v>
      </c>
      <c r="C314" t="s">
        <v>12</v>
      </c>
      <c r="D314" t="s">
        <v>13</v>
      </c>
      <c r="E314" t="s">
        <v>45</v>
      </c>
      <c r="F314" t="s">
        <v>44</v>
      </c>
      <c r="G314">
        <v>26999</v>
      </c>
      <c r="H314">
        <v>22000</v>
      </c>
      <c r="I314">
        <v>210</v>
      </c>
      <c r="J314">
        <v>33001</v>
      </c>
      <c r="K314">
        <f>Table1[[#This Row],[AsrTot]]-Table1[[#This Row],[BrdTot]]</f>
        <v>4999</v>
      </c>
    </row>
    <row r="315" spans="1:11" x14ac:dyDescent="0.55000000000000004">
      <c r="A315" t="s">
        <v>500</v>
      </c>
      <c r="B315" t="s">
        <v>501</v>
      </c>
      <c r="C315" t="s">
        <v>12</v>
      </c>
      <c r="D315" t="s">
        <v>13</v>
      </c>
      <c r="E315" t="s">
        <v>14</v>
      </c>
      <c r="F315" t="s">
        <v>501</v>
      </c>
      <c r="G315">
        <v>32000</v>
      </c>
      <c r="H315">
        <v>26657</v>
      </c>
      <c r="I315">
        <v>211</v>
      </c>
      <c r="J315">
        <v>15001</v>
      </c>
      <c r="K315">
        <f>Table1[[#This Row],[AsrTot]]-Table1[[#This Row],[BrdTot]]</f>
        <v>5343</v>
      </c>
    </row>
    <row r="316" spans="1:11" x14ac:dyDescent="0.55000000000000004">
      <c r="A316" t="s">
        <v>498</v>
      </c>
      <c r="B316" t="s">
        <v>499</v>
      </c>
      <c r="C316" t="s">
        <v>12</v>
      </c>
      <c r="D316" t="s">
        <v>13</v>
      </c>
      <c r="E316" t="s">
        <v>14</v>
      </c>
      <c r="F316" t="s">
        <v>499</v>
      </c>
      <c r="G316">
        <v>39999</v>
      </c>
      <c r="H316">
        <v>33846</v>
      </c>
      <c r="I316">
        <v>211</v>
      </c>
      <c r="J316">
        <v>15001</v>
      </c>
      <c r="K316">
        <f>Table1[[#This Row],[AsrTot]]-Table1[[#This Row],[BrdTot]]</f>
        <v>6153</v>
      </c>
    </row>
    <row r="317" spans="1:11" x14ac:dyDescent="0.55000000000000004">
      <c r="A317" t="s">
        <v>496</v>
      </c>
      <c r="B317" t="s">
        <v>497</v>
      </c>
      <c r="C317" t="s">
        <v>12</v>
      </c>
      <c r="D317" t="s">
        <v>13</v>
      </c>
      <c r="E317" t="s">
        <v>14</v>
      </c>
      <c r="F317" t="s">
        <v>497</v>
      </c>
      <c r="G317">
        <v>40000</v>
      </c>
      <c r="H317">
        <v>33405</v>
      </c>
      <c r="I317">
        <v>211</v>
      </c>
      <c r="J317">
        <v>15001</v>
      </c>
      <c r="K317">
        <f>Table1[[#This Row],[AsrTot]]-Table1[[#This Row],[BrdTot]]</f>
        <v>6595</v>
      </c>
    </row>
    <row r="318" spans="1:11" x14ac:dyDescent="0.55000000000000004">
      <c r="A318" t="s">
        <v>125</v>
      </c>
      <c r="B318" t="s">
        <v>126</v>
      </c>
      <c r="C318" t="s">
        <v>12</v>
      </c>
      <c r="D318" t="s">
        <v>13</v>
      </c>
      <c r="E318" t="s">
        <v>14</v>
      </c>
      <c r="F318" t="s">
        <v>126</v>
      </c>
      <c r="G318">
        <v>38000</v>
      </c>
      <c r="H318">
        <v>30288</v>
      </c>
      <c r="I318">
        <v>204</v>
      </c>
      <c r="J318">
        <v>11002</v>
      </c>
      <c r="K318">
        <f>Table1[[#This Row],[AsrTot]]-Table1[[#This Row],[BrdTot]]</f>
        <v>7712</v>
      </c>
    </row>
    <row r="319" spans="1:11" x14ac:dyDescent="0.55000000000000004">
      <c r="A319" t="s">
        <v>625</v>
      </c>
      <c r="B319" t="s">
        <v>626</v>
      </c>
      <c r="C319" t="s">
        <v>12</v>
      </c>
      <c r="D319" t="s">
        <v>24</v>
      </c>
      <c r="E319" t="s">
        <v>45</v>
      </c>
      <c r="F319" t="s">
        <v>626</v>
      </c>
      <c r="G319">
        <v>74792</v>
      </c>
      <c r="H319">
        <v>56094</v>
      </c>
      <c r="I319">
        <v>314</v>
      </c>
      <c r="J319">
        <v>15001</v>
      </c>
      <c r="K319">
        <f>Table1[[#This Row],[AsrTot]]-Table1[[#This Row],[BrdTot]]</f>
        <v>18698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E6378-E1DC-4214-820F-9EC8C996CE6E}">
  <dimension ref="A3:R15"/>
  <sheetViews>
    <sheetView workbookViewId="0">
      <selection activeCell="A3" sqref="A3"/>
    </sheetView>
  </sheetViews>
  <sheetFormatPr defaultRowHeight="14.4" x14ac:dyDescent="0.55000000000000004"/>
  <cols>
    <col min="1" max="1" width="12.41796875" bestFit="1" customWidth="1"/>
    <col min="2" max="2" width="15.578125" bestFit="1" customWidth="1"/>
    <col min="3" max="17" width="3.68359375" bestFit="1" customWidth="1"/>
    <col min="18" max="18" width="10.3125" bestFit="1" customWidth="1"/>
  </cols>
  <sheetData>
    <row r="3" spans="1:18" x14ac:dyDescent="0.55000000000000004">
      <c r="A3" s="1" t="s">
        <v>638</v>
      </c>
      <c r="B3" s="1" t="s">
        <v>637</v>
      </c>
    </row>
    <row r="4" spans="1:18" x14ac:dyDescent="0.55000000000000004">
      <c r="A4" s="1" t="s">
        <v>635</v>
      </c>
      <c r="B4">
        <v>201</v>
      </c>
      <c r="C4">
        <v>202</v>
      </c>
      <c r="D4">
        <v>203</v>
      </c>
      <c r="E4">
        <v>204</v>
      </c>
      <c r="F4">
        <v>205</v>
      </c>
      <c r="G4">
        <v>206</v>
      </c>
      <c r="H4">
        <v>207</v>
      </c>
      <c r="I4">
        <v>210</v>
      </c>
      <c r="J4">
        <v>211</v>
      </c>
      <c r="K4">
        <v>212</v>
      </c>
      <c r="L4">
        <v>234</v>
      </c>
      <c r="M4">
        <v>295</v>
      </c>
      <c r="N4">
        <v>299</v>
      </c>
      <c r="O4">
        <v>314</v>
      </c>
      <c r="P4">
        <v>522</v>
      </c>
      <c r="Q4">
        <v>590</v>
      </c>
      <c r="R4" t="s">
        <v>636</v>
      </c>
    </row>
    <row r="5" spans="1:18" x14ac:dyDescent="0.55000000000000004">
      <c r="A5" s="2">
        <v>11001</v>
      </c>
      <c r="D5">
        <v>5</v>
      </c>
      <c r="F5">
        <v>2</v>
      </c>
      <c r="J5">
        <v>4</v>
      </c>
      <c r="R5">
        <v>11</v>
      </c>
    </row>
    <row r="6" spans="1:18" x14ac:dyDescent="0.55000000000000004">
      <c r="A6" s="2">
        <v>11002</v>
      </c>
      <c r="C6">
        <v>4</v>
      </c>
      <c r="D6">
        <v>20</v>
      </c>
      <c r="E6">
        <v>2</v>
      </c>
      <c r="F6">
        <v>4</v>
      </c>
      <c r="G6">
        <v>1</v>
      </c>
      <c r="J6">
        <v>2</v>
      </c>
      <c r="L6">
        <v>1</v>
      </c>
      <c r="R6">
        <v>34</v>
      </c>
    </row>
    <row r="7" spans="1:18" x14ac:dyDescent="0.55000000000000004">
      <c r="A7" s="2">
        <v>15001</v>
      </c>
      <c r="B7">
        <v>2</v>
      </c>
      <c r="C7">
        <v>18</v>
      </c>
      <c r="D7">
        <v>76</v>
      </c>
      <c r="E7">
        <v>12</v>
      </c>
      <c r="F7">
        <v>16</v>
      </c>
      <c r="G7">
        <v>4</v>
      </c>
      <c r="I7">
        <v>5</v>
      </c>
      <c r="J7">
        <v>77</v>
      </c>
      <c r="K7">
        <v>1</v>
      </c>
      <c r="M7">
        <v>1</v>
      </c>
      <c r="O7">
        <v>1</v>
      </c>
      <c r="P7">
        <v>3</v>
      </c>
      <c r="Q7">
        <v>5</v>
      </c>
      <c r="R7">
        <v>221</v>
      </c>
    </row>
    <row r="8" spans="1:18" x14ac:dyDescent="0.55000000000000004">
      <c r="A8" s="2">
        <v>15002</v>
      </c>
      <c r="C8">
        <v>7</v>
      </c>
      <c r="D8">
        <v>9</v>
      </c>
      <c r="E8">
        <v>2</v>
      </c>
      <c r="F8">
        <v>1</v>
      </c>
      <c r="H8">
        <v>2</v>
      </c>
      <c r="I8">
        <v>1</v>
      </c>
      <c r="J8">
        <v>5</v>
      </c>
      <c r="L8">
        <v>3</v>
      </c>
      <c r="R8">
        <v>30</v>
      </c>
    </row>
    <row r="9" spans="1:18" x14ac:dyDescent="0.55000000000000004">
      <c r="A9" s="2">
        <v>15004</v>
      </c>
      <c r="C9">
        <v>1</v>
      </c>
      <c r="D9">
        <v>2</v>
      </c>
      <c r="J9">
        <v>8</v>
      </c>
      <c r="N9">
        <v>1</v>
      </c>
      <c r="R9">
        <v>12</v>
      </c>
    </row>
    <row r="10" spans="1:18" x14ac:dyDescent="0.55000000000000004">
      <c r="A10" s="2">
        <v>15005</v>
      </c>
      <c r="D10">
        <v>4</v>
      </c>
      <c r="R10">
        <v>4</v>
      </c>
    </row>
    <row r="11" spans="1:18" x14ac:dyDescent="0.55000000000000004">
      <c r="A11" s="2">
        <v>15008</v>
      </c>
      <c r="D11">
        <v>1</v>
      </c>
      <c r="R11">
        <v>1</v>
      </c>
    </row>
    <row r="12" spans="1:18" x14ac:dyDescent="0.55000000000000004">
      <c r="A12" s="2">
        <v>27001</v>
      </c>
      <c r="D12">
        <v>2</v>
      </c>
      <c r="R12">
        <v>2</v>
      </c>
    </row>
    <row r="13" spans="1:18" x14ac:dyDescent="0.55000000000000004">
      <c r="A13" s="2">
        <v>33001</v>
      </c>
      <c r="I13">
        <v>1</v>
      </c>
      <c r="J13">
        <v>1</v>
      </c>
      <c r="R13">
        <v>2</v>
      </c>
    </row>
    <row r="14" spans="1:18" x14ac:dyDescent="0.55000000000000004">
      <c r="A14" s="2">
        <v>34006</v>
      </c>
      <c r="G14">
        <v>1</v>
      </c>
      <c r="R14">
        <v>1</v>
      </c>
    </row>
    <row r="15" spans="1:18" x14ac:dyDescent="0.55000000000000004">
      <c r="A15" s="2" t="s">
        <v>636</v>
      </c>
      <c r="B15">
        <v>2</v>
      </c>
      <c r="C15">
        <v>30</v>
      </c>
      <c r="D15">
        <v>119</v>
      </c>
      <c r="E15">
        <v>16</v>
      </c>
      <c r="F15">
        <v>23</v>
      </c>
      <c r="G15">
        <v>6</v>
      </c>
      <c r="H15">
        <v>2</v>
      </c>
      <c r="I15">
        <v>7</v>
      </c>
      <c r="J15">
        <v>97</v>
      </c>
      <c r="K15">
        <v>1</v>
      </c>
      <c r="L15">
        <v>4</v>
      </c>
      <c r="M15">
        <v>1</v>
      </c>
      <c r="N15">
        <v>1</v>
      </c>
      <c r="O15">
        <v>1</v>
      </c>
      <c r="P15">
        <v>3</v>
      </c>
      <c r="Q15">
        <v>5</v>
      </c>
      <c r="R15">
        <v>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C7F9E-8F9A-4EEF-A873-953DA3B4B7D3}">
  <dimension ref="A3:B6"/>
  <sheetViews>
    <sheetView workbookViewId="0">
      <selection activeCell="H20" sqref="H20"/>
    </sheetView>
  </sheetViews>
  <sheetFormatPr defaultRowHeight="14.4" x14ac:dyDescent="0.55000000000000004"/>
  <cols>
    <col min="1" max="1" width="12.41796875" bestFit="1" customWidth="1"/>
    <col min="2" max="2" width="11.1015625" bestFit="1" customWidth="1"/>
  </cols>
  <sheetData>
    <row r="3" spans="1:2" x14ac:dyDescent="0.55000000000000004">
      <c r="A3" s="1" t="s">
        <v>635</v>
      </c>
      <c r="B3" t="s">
        <v>638</v>
      </c>
    </row>
    <row r="4" spans="1:2" x14ac:dyDescent="0.55000000000000004">
      <c r="A4" s="2" t="s">
        <v>13</v>
      </c>
      <c r="B4">
        <v>244</v>
      </c>
    </row>
    <row r="5" spans="1:2" x14ac:dyDescent="0.55000000000000004">
      <c r="A5" s="2" t="s">
        <v>24</v>
      </c>
      <c r="B5">
        <v>74</v>
      </c>
    </row>
    <row r="6" spans="1:2" x14ac:dyDescent="0.55000000000000004">
      <c r="A6" s="2" t="s">
        <v>636</v>
      </c>
      <c r="B6">
        <v>318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2AE34-5C6F-4006-9F78-9D20A9A4E6C2}">
  <dimension ref="A3:E311"/>
  <sheetViews>
    <sheetView zoomScale="80" zoomScaleNormal="80" workbookViewId="0">
      <selection activeCell="E52" sqref="E52"/>
    </sheetView>
  </sheetViews>
  <sheetFormatPr defaultRowHeight="14.4" x14ac:dyDescent="0.55000000000000004"/>
  <cols>
    <col min="1" max="1" width="17.83984375" bestFit="1" customWidth="1"/>
    <col min="2" max="2" width="10.734375" bestFit="1" customWidth="1"/>
    <col min="3" max="3" width="24.578125" style="3" bestFit="1" customWidth="1"/>
    <col min="4" max="5" width="13.89453125" style="3" bestFit="1" customWidth="1"/>
  </cols>
  <sheetData>
    <row r="3" spans="1:5" x14ac:dyDescent="0.55000000000000004">
      <c r="A3" s="1" t="s">
        <v>635</v>
      </c>
      <c r="B3" t="s">
        <v>638</v>
      </c>
      <c r="C3" s="3" t="s">
        <v>642</v>
      </c>
      <c r="D3" s="3" t="s">
        <v>640</v>
      </c>
      <c r="E3" s="3" t="s">
        <v>641</v>
      </c>
    </row>
    <row r="4" spans="1:5" x14ac:dyDescent="0.55000000000000004">
      <c r="A4" s="2" t="s">
        <v>59</v>
      </c>
      <c r="B4">
        <v>8</v>
      </c>
      <c r="C4" s="3">
        <v>0</v>
      </c>
      <c r="D4" s="3">
        <v>123362</v>
      </c>
      <c r="E4" s="3">
        <v>123362</v>
      </c>
    </row>
    <row r="5" spans="1:5" x14ac:dyDescent="0.55000000000000004">
      <c r="A5" s="2" t="s">
        <v>17</v>
      </c>
      <c r="B5">
        <v>2</v>
      </c>
      <c r="C5" s="3">
        <v>1270</v>
      </c>
      <c r="D5" s="3">
        <v>19839</v>
      </c>
      <c r="E5" s="3">
        <v>18569</v>
      </c>
    </row>
    <row r="6" spans="1:5" x14ac:dyDescent="0.55000000000000004">
      <c r="A6" s="2" t="s">
        <v>16</v>
      </c>
      <c r="B6">
        <v>2</v>
      </c>
      <c r="C6" s="3">
        <v>1270</v>
      </c>
      <c r="D6" s="3">
        <v>19839</v>
      </c>
      <c r="E6" s="3">
        <v>18569</v>
      </c>
    </row>
    <row r="7" spans="1:5" x14ac:dyDescent="0.55000000000000004">
      <c r="A7" s="2" t="s">
        <v>542</v>
      </c>
      <c r="B7">
        <v>2</v>
      </c>
      <c r="C7" s="3">
        <v>1661</v>
      </c>
      <c r="D7" s="3">
        <v>23999</v>
      </c>
      <c r="E7" s="3">
        <v>22338</v>
      </c>
    </row>
    <row r="8" spans="1:5" x14ac:dyDescent="0.55000000000000004">
      <c r="A8" s="2" t="s">
        <v>541</v>
      </c>
      <c r="B8">
        <v>2</v>
      </c>
      <c r="C8" s="3">
        <v>1661</v>
      </c>
      <c r="D8" s="3">
        <v>23999</v>
      </c>
      <c r="E8" s="3">
        <v>22338</v>
      </c>
    </row>
    <row r="9" spans="1:5" x14ac:dyDescent="0.55000000000000004">
      <c r="A9" s="2" t="s">
        <v>78</v>
      </c>
      <c r="B9">
        <v>1</v>
      </c>
      <c r="C9" s="3">
        <v>0</v>
      </c>
      <c r="D9" s="3">
        <v>30999</v>
      </c>
      <c r="E9" s="3">
        <v>30999</v>
      </c>
    </row>
    <row r="10" spans="1:5" x14ac:dyDescent="0.55000000000000004">
      <c r="A10" s="2" t="s">
        <v>531</v>
      </c>
      <c r="B10">
        <v>1</v>
      </c>
      <c r="C10" s="3">
        <v>0</v>
      </c>
      <c r="D10" s="3">
        <v>24092</v>
      </c>
      <c r="E10" s="3">
        <v>24092</v>
      </c>
    </row>
    <row r="11" spans="1:5" x14ac:dyDescent="0.55000000000000004">
      <c r="A11" s="2" t="s">
        <v>379</v>
      </c>
      <c r="B11">
        <v>1</v>
      </c>
      <c r="C11" s="3">
        <v>2639</v>
      </c>
      <c r="D11" s="3">
        <v>21999</v>
      </c>
      <c r="E11" s="3">
        <v>19360</v>
      </c>
    </row>
    <row r="12" spans="1:5" x14ac:dyDescent="0.55000000000000004">
      <c r="A12" s="2" t="s">
        <v>26</v>
      </c>
      <c r="B12">
        <v>1</v>
      </c>
      <c r="C12" s="3">
        <v>1419</v>
      </c>
      <c r="D12" s="3">
        <v>25999</v>
      </c>
      <c r="E12" s="3">
        <v>24580</v>
      </c>
    </row>
    <row r="13" spans="1:5" x14ac:dyDescent="0.55000000000000004">
      <c r="A13" s="2" t="s">
        <v>447</v>
      </c>
      <c r="B13">
        <v>1</v>
      </c>
      <c r="C13" s="3">
        <v>2660</v>
      </c>
      <c r="D13" s="3">
        <v>21000</v>
      </c>
      <c r="E13" s="3">
        <v>18340</v>
      </c>
    </row>
    <row r="14" spans="1:5" x14ac:dyDescent="0.55000000000000004">
      <c r="A14" s="2" t="s">
        <v>620</v>
      </c>
      <c r="B14">
        <v>1</v>
      </c>
      <c r="C14" s="3">
        <v>3261</v>
      </c>
      <c r="D14" s="3">
        <v>33000</v>
      </c>
      <c r="E14" s="3">
        <v>29739</v>
      </c>
    </row>
    <row r="15" spans="1:5" x14ac:dyDescent="0.55000000000000004">
      <c r="A15" s="2" t="s">
        <v>274</v>
      </c>
      <c r="B15">
        <v>1</v>
      </c>
      <c r="C15" s="3">
        <v>1265</v>
      </c>
      <c r="D15" s="3">
        <v>19999</v>
      </c>
      <c r="E15" s="3">
        <v>18734</v>
      </c>
    </row>
    <row r="16" spans="1:5" x14ac:dyDescent="0.55000000000000004">
      <c r="A16" s="2" t="s">
        <v>96</v>
      </c>
      <c r="B16">
        <v>1</v>
      </c>
      <c r="C16" s="3">
        <v>1599</v>
      </c>
      <c r="D16" s="3">
        <v>28000</v>
      </c>
      <c r="E16" s="3">
        <v>26401</v>
      </c>
    </row>
    <row r="17" spans="1:5" x14ac:dyDescent="0.55000000000000004">
      <c r="A17" s="2" t="s">
        <v>122</v>
      </c>
      <c r="B17">
        <v>1</v>
      </c>
      <c r="C17" s="3">
        <v>0</v>
      </c>
      <c r="D17" s="3">
        <v>24000</v>
      </c>
      <c r="E17" s="3">
        <v>24000</v>
      </c>
    </row>
    <row r="18" spans="1:5" x14ac:dyDescent="0.55000000000000004">
      <c r="A18" s="2" t="s">
        <v>55</v>
      </c>
      <c r="B18">
        <v>1</v>
      </c>
      <c r="C18" s="3">
        <v>2753</v>
      </c>
      <c r="D18" s="3">
        <v>24000</v>
      </c>
      <c r="E18" s="3">
        <v>21247</v>
      </c>
    </row>
    <row r="19" spans="1:5" x14ac:dyDescent="0.55000000000000004">
      <c r="A19" s="2" t="s">
        <v>326</v>
      </c>
      <c r="B19">
        <v>1</v>
      </c>
      <c r="C19" s="3">
        <v>1067</v>
      </c>
      <c r="D19" s="3">
        <v>11999</v>
      </c>
      <c r="E19" s="3">
        <v>10932</v>
      </c>
    </row>
    <row r="20" spans="1:5" x14ac:dyDescent="0.55000000000000004">
      <c r="A20" s="2" t="s">
        <v>53</v>
      </c>
      <c r="B20">
        <v>1</v>
      </c>
      <c r="C20" s="3">
        <v>2289</v>
      </c>
      <c r="D20" s="3">
        <v>27258</v>
      </c>
      <c r="E20" s="3">
        <v>24969</v>
      </c>
    </row>
    <row r="21" spans="1:5" x14ac:dyDescent="0.55000000000000004">
      <c r="A21" s="2" t="s">
        <v>449</v>
      </c>
      <c r="B21">
        <v>1</v>
      </c>
      <c r="C21" s="3">
        <v>4279</v>
      </c>
      <c r="D21" s="3">
        <v>31999</v>
      </c>
      <c r="E21" s="3">
        <v>27720</v>
      </c>
    </row>
    <row r="22" spans="1:5" x14ac:dyDescent="0.55000000000000004">
      <c r="A22" s="2" t="s">
        <v>72</v>
      </c>
      <c r="B22">
        <v>1</v>
      </c>
      <c r="C22" s="3">
        <v>915</v>
      </c>
      <c r="D22" s="3">
        <v>29000</v>
      </c>
      <c r="E22" s="3">
        <v>28085</v>
      </c>
    </row>
    <row r="23" spans="1:5" x14ac:dyDescent="0.55000000000000004">
      <c r="A23" s="2" t="s">
        <v>268</v>
      </c>
      <c r="B23">
        <v>1</v>
      </c>
      <c r="C23" s="3">
        <v>0</v>
      </c>
      <c r="D23" s="3">
        <v>14999</v>
      </c>
      <c r="E23" s="3">
        <v>14999</v>
      </c>
    </row>
    <row r="24" spans="1:5" x14ac:dyDescent="0.55000000000000004">
      <c r="A24" s="2" t="s">
        <v>57</v>
      </c>
      <c r="B24">
        <v>1</v>
      </c>
      <c r="C24" s="3">
        <v>3849</v>
      </c>
      <c r="D24" s="3">
        <v>32000</v>
      </c>
      <c r="E24" s="3">
        <v>28151</v>
      </c>
    </row>
    <row r="25" spans="1:5" x14ac:dyDescent="0.55000000000000004">
      <c r="A25" s="2" t="s">
        <v>376</v>
      </c>
      <c r="B25">
        <v>1</v>
      </c>
      <c r="C25" s="3">
        <v>0</v>
      </c>
      <c r="D25" s="3">
        <v>9940</v>
      </c>
      <c r="E25" s="3">
        <v>9940</v>
      </c>
    </row>
    <row r="26" spans="1:5" x14ac:dyDescent="0.55000000000000004">
      <c r="A26" s="2" t="s">
        <v>118</v>
      </c>
      <c r="B26">
        <v>1</v>
      </c>
      <c r="C26" s="3">
        <v>2357</v>
      </c>
      <c r="D26" s="3">
        <v>31999</v>
      </c>
      <c r="E26" s="3">
        <v>29642</v>
      </c>
    </row>
    <row r="27" spans="1:5" x14ac:dyDescent="0.55000000000000004">
      <c r="A27" s="2" t="s">
        <v>580</v>
      </c>
      <c r="B27">
        <v>1</v>
      </c>
      <c r="C27" s="3">
        <v>4179</v>
      </c>
      <c r="D27" s="3">
        <v>25000</v>
      </c>
      <c r="E27" s="3">
        <v>20821</v>
      </c>
    </row>
    <row r="28" spans="1:5" x14ac:dyDescent="0.55000000000000004">
      <c r="A28" s="2" t="s">
        <v>471</v>
      </c>
      <c r="B28">
        <v>1</v>
      </c>
      <c r="C28" s="3">
        <v>3354</v>
      </c>
      <c r="D28" s="3">
        <v>37000</v>
      </c>
      <c r="E28" s="3">
        <v>33646</v>
      </c>
    </row>
    <row r="29" spans="1:5" x14ac:dyDescent="0.55000000000000004">
      <c r="A29" s="2" t="s">
        <v>328</v>
      </c>
      <c r="B29">
        <v>1</v>
      </c>
      <c r="C29" s="3">
        <v>3223</v>
      </c>
      <c r="D29" s="3">
        <v>24999</v>
      </c>
      <c r="E29" s="3">
        <v>21776</v>
      </c>
    </row>
    <row r="30" spans="1:5" x14ac:dyDescent="0.55000000000000004">
      <c r="A30" s="2" t="s">
        <v>84</v>
      </c>
      <c r="B30">
        <v>1</v>
      </c>
      <c r="C30" s="3">
        <v>0</v>
      </c>
      <c r="D30" s="3">
        <v>24000</v>
      </c>
      <c r="E30" s="3">
        <v>24000</v>
      </c>
    </row>
    <row r="31" spans="1:5" x14ac:dyDescent="0.55000000000000004">
      <c r="A31" s="2" t="s">
        <v>558</v>
      </c>
      <c r="B31">
        <v>1</v>
      </c>
      <c r="C31" s="3">
        <v>1282</v>
      </c>
      <c r="D31" s="3">
        <v>21999</v>
      </c>
      <c r="E31" s="3">
        <v>20717</v>
      </c>
    </row>
    <row r="32" spans="1:5" x14ac:dyDescent="0.55000000000000004">
      <c r="A32" s="2" t="s">
        <v>150</v>
      </c>
      <c r="B32">
        <v>1</v>
      </c>
      <c r="C32" s="3">
        <v>2218</v>
      </c>
      <c r="D32" s="3">
        <v>22999</v>
      </c>
      <c r="E32" s="3">
        <v>20781</v>
      </c>
    </row>
    <row r="33" spans="1:5" x14ac:dyDescent="0.55000000000000004">
      <c r="A33" s="2" t="s">
        <v>254</v>
      </c>
      <c r="B33">
        <v>1</v>
      </c>
      <c r="C33" s="3">
        <v>1752</v>
      </c>
      <c r="D33" s="3">
        <v>20999</v>
      </c>
      <c r="E33" s="3">
        <v>19247</v>
      </c>
    </row>
    <row r="34" spans="1:5" x14ac:dyDescent="0.55000000000000004">
      <c r="A34" s="2" t="s">
        <v>431</v>
      </c>
      <c r="B34">
        <v>1</v>
      </c>
      <c r="C34" s="3">
        <v>1576</v>
      </c>
      <c r="D34" s="3">
        <v>18999</v>
      </c>
      <c r="E34" s="3">
        <v>17423</v>
      </c>
    </row>
    <row r="35" spans="1:5" x14ac:dyDescent="0.55000000000000004">
      <c r="A35" s="2" t="s">
        <v>98</v>
      </c>
      <c r="B35">
        <v>1</v>
      </c>
      <c r="C35" s="3">
        <v>3506</v>
      </c>
      <c r="D35" s="3">
        <v>26999</v>
      </c>
      <c r="E35" s="3">
        <v>23493</v>
      </c>
    </row>
    <row r="36" spans="1:5" x14ac:dyDescent="0.55000000000000004">
      <c r="A36" s="2" t="s">
        <v>104</v>
      </c>
      <c r="B36">
        <v>1</v>
      </c>
      <c r="C36" s="3">
        <v>1475</v>
      </c>
      <c r="D36" s="3">
        <v>18999</v>
      </c>
      <c r="E36" s="3">
        <v>17524</v>
      </c>
    </row>
    <row r="37" spans="1:5" x14ac:dyDescent="0.55000000000000004">
      <c r="A37" s="2" t="s">
        <v>370</v>
      </c>
      <c r="B37">
        <v>1</v>
      </c>
      <c r="C37" s="3">
        <v>2186</v>
      </c>
      <c r="D37" s="3">
        <v>21999</v>
      </c>
      <c r="E37" s="3">
        <v>19813</v>
      </c>
    </row>
    <row r="38" spans="1:5" x14ac:dyDescent="0.55000000000000004">
      <c r="A38" s="2" t="s">
        <v>202</v>
      </c>
      <c r="B38">
        <v>1</v>
      </c>
      <c r="C38" s="3">
        <v>2072</v>
      </c>
      <c r="D38" s="3">
        <v>21999</v>
      </c>
      <c r="E38" s="3">
        <v>19927</v>
      </c>
    </row>
    <row r="39" spans="1:5" x14ac:dyDescent="0.55000000000000004">
      <c r="A39" s="2" t="s">
        <v>417</v>
      </c>
      <c r="B39">
        <v>1</v>
      </c>
      <c r="C39" s="3">
        <v>1652</v>
      </c>
      <c r="D39" s="3">
        <v>20999</v>
      </c>
      <c r="E39" s="3">
        <v>19347</v>
      </c>
    </row>
    <row r="40" spans="1:5" x14ac:dyDescent="0.55000000000000004">
      <c r="A40" s="2" t="s">
        <v>194</v>
      </c>
      <c r="B40">
        <v>1</v>
      </c>
      <c r="C40" s="3">
        <v>0</v>
      </c>
      <c r="D40" s="3">
        <v>17999</v>
      </c>
      <c r="E40" s="3">
        <v>17999</v>
      </c>
    </row>
    <row r="41" spans="1:5" x14ac:dyDescent="0.55000000000000004">
      <c r="A41" s="2" t="s">
        <v>584</v>
      </c>
      <c r="B41">
        <v>1</v>
      </c>
      <c r="C41" s="3">
        <v>2765</v>
      </c>
      <c r="D41" s="3">
        <v>19999</v>
      </c>
      <c r="E41" s="3">
        <v>17234</v>
      </c>
    </row>
    <row r="42" spans="1:5" x14ac:dyDescent="0.55000000000000004">
      <c r="A42" s="2" t="s">
        <v>272</v>
      </c>
      <c r="B42">
        <v>1</v>
      </c>
      <c r="C42" s="3">
        <v>1785</v>
      </c>
      <c r="D42" s="3">
        <v>24999</v>
      </c>
      <c r="E42" s="3">
        <v>23214</v>
      </c>
    </row>
    <row r="43" spans="1:5" x14ac:dyDescent="0.55000000000000004">
      <c r="A43" s="2" t="s">
        <v>598</v>
      </c>
      <c r="B43">
        <v>1</v>
      </c>
      <c r="C43" s="3">
        <v>1789</v>
      </c>
      <c r="D43" s="3">
        <v>21999</v>
      </c>
      <c r="E43" s="3">
        <v>20210</v>
      </c>
    </row>
    <row r="44" spans="1:5" x14ac:dyDescent="0.55000000000000004">
      <c r="A44" s="2" t="s">
        <v>11</v>
      </c>
      <c r="B44">
        <v>1</v>
      </c>
      <c r="C44" s="3">
        <v>1321</v>
      </c>
      <c r="D44" s="3">
        <v>17999</v>
      </c>
      <c r="E44" s="3">
        <v>16678</v>
      </c>
    </row>
    <row r="45" spans="1:5" x14ac:dyDescent="0.55000000000000004">
      <c r="A45" s="2" t="s">
        <v>381</v>
      </c>
      <c r="B45">
        <v>1</v>
      </c>
      <c r="C45" s="3">
        <v>2091</v>
      </c>
      <c r="D45" s="3">
        <v>26000</v>
      </c>
      <c r="E45" s="3">
        <v>23909</v>
      </c>
    </row>
    <row r="46" spans="1:5" x14ac:dyDescent="0.55000000000000004">
      <c r="A46" s="2" t="s">
        <v>258</v>
      </c>
      <c r="B46">
        <v>1</v>
      </c>
      <c r="C46" s="3">
        <v>1892</v>
      </c>
      <c r="D46" s="3">
        <v>16999</v>
      </c>
      <c r="E46" s="3">
        <v>15107</v>
      </c>
    </row>
    <row r="47" spans="1:5" x14ac:dyDescent="0.55000000000000004">
      <c r="A47" s="2" t="s">
        <v>604</v>
      </c>
      <c r="B47">
        <v>1</v>
      </c>
      <c r="C47" s="3">
        <v>3654</v>
      </c>
      <c r="D47" s="3">
        <v>24999</v>
      </c>
      <c r="E47" s="3">
        <v>21345</v>
      </c>
    </row>
    <row r="48" spans="1:5" x14ac:dyDescent="0.55000000000000004">
      <c r="A48" s="2" t="s">
        <v>178</v>
      </c>
      <c r="B48">
        <v>1</v>
      </c>
      <c r="C48" s="3">
        <v>3979</v>
      </c>
      <c r="D48" s="3">
        <v>22999</v>
      </c>
      <c r="E48" s="3">
        <v>19020</v>
      </c>
    </row>
    <row r="49" spans="1:5" x14ac:dyDescent="0.55000000000000004">
      <c r="A49" s="2" t="s">
        <v>441</v>
      </c>
      <c r="B49">
        <v>1</v>
      </c>
      <c r="C49" s="3">
        <v>2755</v>
      </c>
      <c r="D49" s="3">
        <v>22999</v>
      </c>
      <c r="E49" s="3">
        <v>20244</v>
      </c>
    </row>
    <row r="50" spans="1:5" x14ac:dyDescent="0.55000000000000004">
      <c r="A50" s="2" t="s">
        <v>419</v>
      </c>
      <c r="B50">
        <v>1</v>
      </c>
      <c r="C50" s="3">
        <v>0</v>
      </c>
      <c r="D50" s="3">
        <v>23999</v>
      </c>
      <c r="E50" s="3">
        <v>23999</v>
      </c>
    </row>
    <row r="51" spans="1:5" x14ac:dyDescent="0.55000000000000004">
      <c r="A51" s="2" t="s">
        <v>21</v>
      </c>
      <c r="B51">
        <v>1</v>
      </c>
      <c r="C51" s="3">
        <v>3047</v>
      </c>
      <c r="D51" s="3">
        <v>27830</v>
      </c>
      <c r="E51" s="3">
        <v>24783</v>
      </c>
    </row>
    <row r="52" spans="1:5" x14ac:dyDescent="0.55000000000000004">
      <c r="A52" s="2" t="s">
        <v>560</v>
      </c>
      <c r="B52">
        <v>1</v>
      </c>
      <c r="C52" s="3">
        <v>3650</v>
      </c>
      <c r="D52" s="3">
        <v>29600</v>
      </c>
      <c r="E52" s="3">
        <v>25950</v>
      </c>
    </row>
    <row r="53" spans="1:5" x14ac:dyDescent="0.55000000000000004">
      <c r="A53" s="2" t="s">
        <v>479</v>
      </c>
      <c r="B53">
        <v>1</v>
      </c>
      <c r="C53" s="3">
        <v>1977</v>
      </c>
      <c r="D53" s="3">
        <v>25999</v>
      </c>
      <c r="E53" s="3">
        <v>24022</v>
      </c>
    </row>
    <row r="54" spans="1:5" x14ac:dyDescent="0.55000000000000004">
      <c r="A54" s="2" t="s">
        <v>372</v>
      </c>
      <c r="B54">
        <v>1</v>
      </c>
      <c r="C54" s="3">
        <v>3859</v>
      </c>
      <c r="D54" s="3">
        <v>27999</v>
      </c>
      <c r="E54" s="3">
        <v>24140</v>
      </c>
    </row>
    <row r="55" spans="1:5" x14ac:dyDescent="0.55000000000000004">
      <c r="A55" s="2" t="s">
        <v>395</v>
      </c>
      <c r="B55">
        <v>1</v>
      </c>
      <c r="C55" s="3">
        <v>991</v>
      </c>
      <c r="D55" s="3">
        <v>16999</v>
      </c>
      <c r="E55" s="3">
        <v>16008</v>
      </c>
    </row>
    <row r="56" spans="1:5" x14ac:dyDescent="0.55000000000000004">
      <c r="A56" s="2" t="s">
        <v>166</v>
      </c>
      <c r="B56">
        <v>1</v>
      </c>
      <c r="C56" s="3">
        <v>1242</v>
      </c>
      <c r="D56" s="3">
        <v>18999</v>
      </c>
      <c r="E56" s="3">
        <v>17757</v>
      </c>
    </row>
    <row r="57" spans="1:5" x14ac:dyDescent="0.55000000000000004">
      <c r="A57" s="2" t="s">
        <v>360</v>
      </c>
      <c r="B57">
        <v>1</v>
      </c>
      <c r="C57" s="3">
        <v>2288</v>
      </c>
      <c r="D57" s="3">
        <v>21999</v>
      </c>
      <c r="E57" s="3">
        <v>19711</v>
      </c>
    </row>
    <row r="58" spans="1:5" x14ac:dyDescent="0.55000000000000004">
      <c r="A58" s="2" t="s">
        <v>521</v>
      </c>
      <c r="B58">
        <v>1</v>
      </c>
      <c r="C58" s="3">
        <v>1365</v>
      </c>
      <c r="D58" s="3">
        <v>20955</v>
      </c>
      <c r="E58" s="3">
        <v>19590</v>
      </c>
    </row>
    <row r="59" spans="1:5" x14ac:dyDescent="0.55000000000000004">
      <c r="A59" s="2" t="s">
        <v>513</v>
      </c>
      <c r="B59">
        <v>1</v>
      </c>
      <c r="C59" s="3">
        <v>3399</v>
      </c>
      <c r="D59" s="3">
        <v>26999</v>
      </c>
      <c r="E59" s="3">
        <v>23600</v>
      </c>
    </row>
    <row r="60" spans="1:5" x14ac:dyDescent="0.55000000000000004">
      <c r="A60" s="2" t="s">
        <v>397</v>
      </c>
      <c r="B60">
        <v>1</v>
      </c>
      <c r="C60" s="3">
        <v>0</v>
      </c>
      <c r="D60" s="3">
        <v>23999</v>
      </c>
      <c r="E60" s="3">
        <v>23999</v>
      </c>
    </row>
    <row r="61" spans="1:5" x14ac:dyDescent="0.55000000000000004">
      <c r="A61" s="2" t="s">
        <v>51</v>
      </c>
      <c r="B61">
        <v>1</v>
      </c>
      <c r="C61" s="3">
        <v>1821</v>
      </c>
      <c r="D61" s="3">
        <v>22999</v>
      </c>
      <c r="E61" s="3">
        <v>21178</v>
      </c>
    </row>
    <row r="62" spans="1:5" x14ac:dyDescent="0.55000000000000004">
      <c r="A62" s="2" t="s">
        <v>206</v>
      </c>
      <c r="B62">
        <v>1</v>
      </c>
      <c r="C62" s="3">
        <v>2773</v>
      </c>
      <c r="D62" s="3">
        <v>29999</v>
      </c>
      <c r="E62" s="3">
        <v>27226</v>
      </c>
    </row>
    <row r="63" spans="1:5" x14ac:dyDescent="0.55000000000000004">
      <c r="A63" s="2" t="s">
        <v>86</v>
      </c>
      <c r="B63">
        <v>1</v>
      </c>
      <c r="C63" s="3">
        <v>0</v>
      </c>
      <c r="D63" s="3">
        <v>24999</v>
      </c>
      <c r="E63" s="3">
        <v>24999</v>
      </c>
    </row>
    <row r="64" spans="1:5" x14ac:dyDescent="0.55000000000000004">
      <c r="A64" s="2" t="s">
        <v>562</v>
      </c>
      <c r="B64">
        <v>1</v>
      </c>
      <c r="C64" s="3">
        <v>3364</v>
      </c>
      <c r="D64" s="3">
        <v>28999</v>
      </c>
      <c r="E64" s="3">
        <v>25635</v>
      </c>
    </row>
    <row r="65" spans="1:5" x14ac:dyDescent="0.55000000000000004">
      <c r="A65" s="2" t="s">
        <v>82</v>
      </c>
      <c r="B65">
        <v>1</v>
      </c>
      <c r="C65" s="3">
        <v>3753</v>
      </c>
      <c r="D65" s="3">
        <v>27999</v>
      </c>
      <c r="E65" s="3">
        <v>24246</v>
      </c>
    </row>
    <row r="66" spans="1:5" x14ac:dyDescent="0.55000000000000004">
      <c r="A66" s="2" t="s">
        <v>262</v>
      </c>
      <c r="B66">
        <v>1</v>
      </c>
      <c r="C66" s="3">
        <v>1611</v>
      </c>
      <c r="D66" s="3">
        <v>17999</v>
      </c>
      <c r="E66" s="3">
        <v>16388</v>
      </c>
    </row>
    <row r="67" spans="1:5" x14ac:dyDescent="0.55000000000000004">
      <c r="A67" s="2" t="s">
        <v>38</v>
      </c>
      <c r="B67">
        <v>1</v>
      </c>
      <c r="C67" s="3">
        <v>4202</v>
      </c>
      <c r="D67" s="3">
        <v>56858</v>
      </c>
      <c r="E67" s="3">
        <v>52656</v>
      </c>
    </row>
    <row r="68" spans="1:5" x14ac:dyDescent="0.55000000000000004">
      <c r="A68" s="2" t="s">
        <v>342</v>
      </c>
      <c r="B68">
        <v>1</v>
      </c>
      <c r="C68" s="3">
        <v>3203</v>
      </c>
      <c r="D68" s="3">
        <v>27999</v>
      </c>
      <c r="E68" s="3">
        <v>24796</v>
      </c>
    </row>
    <row r="69" spans="1:5" x14ac:dyDescent="0.55000000000000004">
      <c r="A69" s="2" t="s">
        <v>146</v>
      </c>
      <c r="B69">
        <v>1</v>
      </c>
      <c r="C69" s="3">
        <v>0</v>
      </c>
      <c r="D69" s="3">
        <v>30999</v>
      </c>
      <c r="E69" s="3">
        <v>30999</v>
      </c>
    </row>
    <row r="70" spans="1:5" x14ac:dyDescent="0.55000000000000004">
      <c r="A70" s="2" t="s">
        <v>499</v>
      </c>
      <c r="B70">
        <v>1</v>
      </c>
      <c r="C70" s="3">
        <v>6153</v>
      </c>
      <c r="D70" s="3">
        <v>39999</v>
      </c>
      <c r="E70" s="3">
        <v>33846</v>
      </c>
    </row>
    <row r="71" spans="1:5" x14ac:dyDescent="0.55000000000000004">
      <c r="A71" s="2" t="s">
        <v>614</v>
      </c>
      <c r="B71">
        <v>1</v>
      </c>
      <c r="C71" s="3">
        <v>2097</v>
      </c>
      <c r="D71" s="3">
        <v>23999</v>
      </c>
      <c r="E71" s="3">
        <v>21902</v>
      </c>
    </row>
    <row r="72" spans="1:5" x14ac:dyDescent="0.55000000000000004">
      <c r="A72" s="2" t="s">
        <v>497</v>
      </c>
      <c r="B72">
        <v>1</v>
      </c>
      <c r="C72" s="3">
        <v>6595</v>
      </c>
      <c r="D72" s="3">
        <v>40000</v>
      </c>
      <c r="E72" s="3">
        <v>33405</v>
      </c>
    </row>
    <row r="73" spans="1:5" x14ac:dyDescent="0.55000000000000004">
      <c r="A73" s="2" t="s">
        <v>451</v>
      </c>
      <c r="B73">
        <v>1</v>
      </c>
      <c r="C73" s="3">
        <v>0</v>
      </c>
      <c r="D73" s="3">
        <v>17999</v>
      </c>
      <c r="E73" s="3">
        <v>17999</v>
      </c>
    </row>
    <row r="74" spans="1:5" x14ac:dyDescent="0.55000000000000004">
      <c r="A74" s="2" t="s">
        <v>260</v>
      </c>
      <c r="B74">
        <v>1</v>
      </c>
      <c r="C74" s="3">
        <v>1640</v>
      </c>
      <c r="D74" s="3">
        <v>23000</v>
      </c>
      <c r="E74" s="3">
        <v>21360</v>
      </c>
    </row>
    <row r="75" spans="1:5" x14ac:dyDescent="0.55000000000000004">
      <c r="A75" s="2" t="s">
        <v>112</v>
      </c>
      <c r="B75">
        <v>1</v>
      </c>
      <c r="C75" s="3">
        <v>3134</v>
      </c>
      <c r="D75" s="3">
        <v>25000</v>
      </c>
      <c r="E75" s="3">
        <v>21866</v>
      </c>
    </row>
    <row r="76" spans="1:5" x14ac:dyDescent="0.55000000000000004">
      <c r="A76" s="2" t="s">
        <v>632</v>
      </c>
      <c r="B76">
        <v>1</v>
      </c>
      <c r="C76" s="3">
        <v>0</v>
      </c>
      <c r="D76" s="3">
        <v>30999</v>
      </c>
      <c r="E76" s="3">
        <v>30999</v>
      </c>
    </row>
    <row r="77" spans="1:5" x14ac:dyDescent="0.55000000000000004">
      <c r="A77" s="2" t="s">
        <v>246</v>
      </c>
      <c r="B77">
        <v>1</v>
      </c>
      <c r="C77" s="3">
        <v>2040</v>
      </c>
      <c r="D77" s="3">
        <v>25999</v>
      </c>
      <c r="E77" s="3">
        <v>23959</v>
      </c>
    </row>
    <row r="78" spans="1:5" x14ac:dyDescent="0.55000000000000004">
      <c r="A78" s="2" t="s">
        <v>180</v>
      </c>
      <c r="B78">
        <v>1</v>
      </c>
      <c r="C78" s="3">
        <v>871</v>
      </c>
      <c r="D78" s="3">
        <v>16999</v>
      </c>
      <c r="E78" s="3">
        <v>16128</v>
      </c>
    </row>
    <row r="79" spans="1:5" x14ac:dyDescent="0.55000000000000004">
      <c r="A79" s="2" t="s">
        <v>586</v>
      </c>
      <c r="B79">
        <v>1</v>
      </c>
      <c r="C79" s="3">
        <v>2635</v>
      </c>
      <c r="D79" s="3">
        <v>21999</v>
      </c>
      <c r="E79" s="3">
        <v>19364</v>
      </c>
    </row>
    <row r="80" spans="1:5" x14ac:dyDescent="0.55000000000000004">
      <c r="A80" s="2" t="s">
        <v>352</v>
      </c>
      <c r="B80">
        <v>1</v>
      </c>
      <c r="C80" s="3">
        <v>0</v>
      </c>
      <c r="D80" s="3">
        <v>20000</v>
      </c>
      <c r="E80" s="3">
        <v>20000</v>
      </c>
    </row>
    <row r="81" spans="1:5" x14ac:dyDescent="0.55000000000000004">
      <c r="A81" s="2" t="s">
        <v>158</v>
      </c>
      <c r="B81">
        <v>1</v>
      </c>
      <c r="C81" s="3">
        <v>0</v>
      </c>
      <c r="D81" s="3">
        <v>22999</v>
      </c>
      <c r="E81" s="3">
        <v>22999</v>
      </c>
    </row>
    <row r="82" spans="1:5" x14ac:dyDescent="0.55000000000000004">
      <c r="A82" s="2" t="s">
        <v>290</v>
      </c>
      <c r="B82">
        <v>1</v>
      </c>
      <c r="C82" s="3">
        <v>1974</v>
      </c>
      <c r="D82" s="3">
        <v>26999</v>
      </c>
      <c r="E82" s="3">
        <v>25025</v>
      </c>
    </row>
    <row r="83" spans="1:5" x14ac:dyDescent="0.55000000000000004">
      <c r="A83" s="2" t="s">
        <v>212</v>
      </c>
      <c r="B83">
        <v>1</v>
      </c>
      <c r="C83" s="3">
        <v>3680</v>
      </c>
      <c r="D83" s="3">
        <v>27999</v>
      </c>
      <c r="E83" s="3">
        <v>24319</v>
      </c>
    </row>
    <row r="84" spans="1:5" x14ac:dyDescent="0.55000000000000004">
      <c r="A84" s="2" t="s">
        <v>421</v>
      </c>
      <c r="B84">
        <v>1</v>
      </c>
      <c r="C84" s="3">
        <v>0</v>
      </c>
      <c r="D84" s="3">
        <v>21999</v>
      </c>
      <c r="E84" s="3">
        <v>21999</v>
      </c>
    </row>
    <row r="85" spans="1:5" x14ac:dyDescent="0.55000000000000004">
      <c r="A85" s="2" t="s">
        <v>537</v>
      </c>
      <c r="B85">
        <v>1</v>
      </c>
      <c r="C85" s="3">
        <v>2282</v>
      </c>
      <c r="D85" s="3">
        <v>25923</v>
      </c>
      <c r="E85" s="3">
        <v>23641</v>
      </c>
    </row>
    <row r="86" spans="1:5" x14ac:dyDescent="0.55000000000000004">
      <c r="A86" s="2" t="s">
        <v>308</v>
      </c>
      <c r="B86">
        <v>1</v>
      </c>
      <c r="C86" s="3">
        <v>1596</v>
      </c>
      <c r="D86" s="3">
        <v>19999</v>
      </c>
      <c r="E86" s="3">
        <v>18403</v>
      </c>
    </row>
    <row r="87" spans="1:5" x14ac:dyDescent="0.55000000000000004">
      <c r="A87" s="2" t="s">
        <v>596</v>
      </c>
      <c r="B87">
        <v>1</v>
      </c>
      <c r="C87" s="3">
        <v>2026</v>
      </c>
      <c r="D87" s="3">
        <v>19999</v>
      </c>
      <c r="E87" s="3">
        <v>17973</v>
      </c>
    </row>
    <row r="88" spans="1:5" x14ac:dyDescent="0.55000000000000004">
      <c r="A88" s="2" t="s">
        <v>210</v>
      </c>
      <c r="B88">
        <v>1</v>
      </c>
      <c r="C88" s="3">
        <v>2755</v>
      </c>
      <c r="D88" s="3">
        <v>20999</v>
      </c>
      <c r="E88" s="3">
        <v>18244</v>
      </c>
    </row>
    <row r="89" spans="1:5" x14ac:dyDescent="0.55000000000000004">
      <c r="A89" s="2" t="s">
        <v>503</v>
      </c>
      <c r="B89">
        <v>1</v>
      </c>
      <c r="C89" s="3">
        <v>0</v>
      </c>
      <c r="D89" s="3">
        <v>18171</v>
      </c>
      <c r="E89" s="3">
        <v>18171</v>
      </c>
    </row>
    <row r="90" spans="1:5" x14ac:dyDescent="0.55000000000000004">
      <c r="A90" s="2" t="s">
        <v>152</v>
      </c>
      <c r="B90">
        <v>1</v>
      </c>
      <c r="C90" s="3">
        <v>2824</v>
      </c>
      <c r="D90" s="3">
        <v>25999</v>
      </c>
      <c r="E90" s="3">
        <v>23175</v>
      </c>
    </row>
    <row r="91" spans="1:5" x14ac:dyDescent="0.55000000000000004">
      <c r="A91" s="2" t="s">
        <v>36</v>
      </c>
      <c r="B91">
        <v>1</v>
      </c>
      <c r="C91" s="3">
        <v>2319</v>
      </c>
      <c r="D91" s="3">
        <v>25999</v>
      </c>
      <c r="E91" s="3">
        <v>23680</v>
      </c>
    </row>
    <row r="92" spans="1:5" x14ac:dyDescent="0.55000000000000004">
      <c r="A92" s="2" t="s">
        <v>544</v>
      </c>
      <c r="B92">
        <v>1</v>
      </c>
      <c r="C92" s="3">
        <v>0</v>
      </c>
      <c r="D92" s="3">
        <v>25999</v>
      </c>
      <c r="E92" s="3">
        <v>25999</v>
      </c>
    </row>
    <row r="93" spans="1:5" x14ac:dyDescent="0.55000000000000004">
      <c r="A93" s="2" t="s">
        <v>469</v>
      </c>
      <c r="B93">
        <v>1</v>
      </c>
      <c r="C93" s="3">
        <v>0</v>
      </c>
      <c r="D93" s="3">
        <v>18000</v>
      </c>
      <c r="E93" s="3">
        <v>18000</v>
      </c>
    </row>
    <row r="94" spans="1:5" x14ac:dyDescent="0.55000000000000004">
      <c r="A94" s="2" t="s">
        <v>546</v>
      </c>
      <c r="B94">
        <v>1</v>
      </c>
      <c r="C94" s="3">
        <v>1372</v>
      </c>
      <c r="D94" s="3">
        <v>20999</v>
      </c>
      <c r="E94" s="3">
        <v>19627</v>
      </c>
    </row>
    <row r="95" spans="1:5" x14ac:dyDescent="0.55000000000000004">
      <c r="A95" s="2" t="s">
        <v>487</v>
      </c>
      <c r="B95">
        <v>1</v>
      </c>
      <c r="C95" s="3">
        <v>2700</v>
      </c>
      <c r="D95" s="3">
        <v>20000</v>
      </c>
      <c r="E95" s="3">
        <v>17300</v>
      </c>
    </row>
    <row r="96" spans="1:5" x14ac:dyDescent="0.55000000000000004">
      <c r="A96" s="2" t="s">
        <v>348</v>
      </c>
      <c r="B96">
        <v>1</v>
      </c>
      <c r="C96" s="3">
        <v>1271</v>
      </c>
      <c r="D96" s="3">
        <v>28999</v>
      </c>
      <c r="E96" s="3">
        <v>27728</v>
      </c>
    </row>
    <row r="97" spans="1:5" x14ac:dyDescent="0.55000000000000004">
      <c r="A97" s="2" t="s">
        <v>296</v>
      </c>
      <c r="B97">
        <v>1</v>
      </c>
      <c r="C97" s="3">
        <v>0</v>
      </c>
      <c r="D97" s="3">
        <v>16487</v>
      </c>
      <c r="E97" s="3">
        <v>16487</v>
      </c>
    </row>
    <row r="98" spans="1:5" x14ac:dyDescent="0.55000000000000004">
      <c r="A98" s="2" t="s">
        <v>439</v>
      </c>
      <c r="B98">
        <v>1</v>
      </c>
      <c r="C98" s="3">
        <v>2497</v>
      </c>
      <c r="D98" s="3">
        <v>30000</v>
      </c>
      <c r="E98" s="3">
        <v>27503</v>
      </c>
    </row>
    <row r="99" spans="1:5" x14ac:dyDescent="0.55000000000000004">
      <c r="A99" s="2" t="s">
        <v>134</v>
      </c>
      <c r="B99">
        <v>1</v>
      </c>
      <c r="C99" s="3">
        <v>0</v>
      </c>
      <c r="D99" s="3">
        <v>25999</v>
      </c>
      <c r="E99" s="3">
        <v>25999</v>
      </c>
    </row>
    <row r="100" spans="1:5" x14ac:dyDescent="0.55000000000000004">
      <c r="A100" s="2" t="s">
        <v>435</v>
      </c>
      <c r="B100">
        <v>1</v>
      </c>
      <c r="C100" s="3">
        <v>3221</v>
      </c>
      <c r="D100" s="3">
        <v>28000</v>
      </c>
      <c r="E100" s="3">
        <v>24779</v>
      </c>
    </row>
    <row r="101" spans="1:5" x14ac:dyDescent="0.55000000000000004">
      <c r="A101" s="2" t="s">
        <v>128</v>
      </c>
      <c r="B101">
        <v>1</v>
      </c>
      <c r="C101" s="3">
        <v>1000</v>
      </c>
      <c r="D101" s="3">
        <v>14999</v>
      </c>
      <c r="E101" s="3">
        <v>13999</v>
      </c>
    </row>
    <row r="102" spans="1:5" x14ac:dyDescent="0.55000000000000004">
      <c r="A102" s="2" t="s">
        <v>455</v>
      </c>
      <c r="B102">
        <v>1</v>
      </c>
      <c r="C102" s="3">
        <v>2078</v>
      </c>
      <c r="D102" s="3">
        <v>21999</v>
      </c>
      <c r="E102" s="3">
        <v>19921</v>
      </c>
    </row>
    <row r="103" spans="1:5" x14ac:dyDescent="0.55000000000000004">
      <c r="A103" s="2" t="s">
        <v>228</v>
      </c>
      <c r="B103">
        <v>1</v>
      </c>
      <c r="C103" s="3">
        <v>539</v>
      </c>
      <c r="D103" s="3">
        <v>17999</v>
      </c>
      <c r="E103" s="3">
        <v>17460</v>
      </c>
    </row>
    <row r="104" spans="1:5" x14ac:dyDescent="0.55000000000000004">
      <c r="A104" s="2" t="s">
        <v>389</v>
      </c>
      <c r="B104">
        <v>1</v>
      </c>
      <c r="C104" s="3">
        <v>2665</v>
      </c>
      <c r="D104" s="3">
        <v>27999</v>
      </c>
      <c r="E104" s="3">
        <v>25334</v>
      </c>
    </row>
    <row r="105" spans="1:5" x14ac:dyDescent="0.55000000000000004">
      <c r="A105" s="2" t="s">
        <v>525</v>
      </c>
      <c r="B105">
        <v>1</v>
      </c>
      <c r="C105" s="3">
        <v>1775</v>
      </c>
      <c r="D105" s="3">
        <v>19999</v>
      </c>
      <c r="E105" s="3">
        <v>18224</v>
      </c>
    </row>
    <row r="106" spans="1:5" x14ac:dyDescent="0.55000000000000004">
      <c r="A106" s="2" t="s">
        <v>461</v>
      </c>
      <c r="B106">
        <v>1</v>
      </c>
      <c r="C106" s="3">
        <v>1433</v>
      </c>
      <c r="D106" s="3">
        <v>23999</v>
      </c>
      <c r="E106" s="3">
        <v>22566</v>
      </c>
    </row>
    <row r="107" spans="1:5" x14ac:dyDescent="0.55000000000000004">
      <c r="A107" s="2" t="s">
        <v>622</v>
      </c>
      <c r="B107">
        <v>1</v>
      </c>
      <c r="C107" s="3">
        <v>0</v>
      </c>
      <c r="D107" s="3">
        <v>35999</v>
      </c>
      <c r="E107" s="3">
        <v>35999</v>
      </c>
    </row>
    <row r="108" spans="1:5" x14ac:dyDescent="0.55000000000000004">
      <c r="A108" s="2" t="s">
        <v>477</v>
      </c>
      <c r="B108">
        <v>1</v>
      </c>
      <c r="C108" s="3">
        <v>2570</v>
      </c>
      <c r="D108" s="3">
        <v>33000</v>
      </c>
      <c r="E108" s="3">
        <v>30430</v>
      </c>
    </row>
    <row r="109" spans="1:5" x14ac:dyDescent="0.55000000000000004">
      <c r="A109" s="2" t="s">
        <v>453</v>
      </c>
      <c r="B109">
        <v>1</v>
      </c>
      <c r="C109" s="3">
        <v>838</v>
      </c>
      <c r="D109" s="3">
        <v>18999</v>
      </c>
      <c r="E109" s="3">
        <v>18161</v>
      </c>
    </row>
    <row r="110" spans="1:5" x14ac:dyDescent="0.55000000000000004">
      <c r="A110" s="2" t="s">
        <v>214</v>
      </c>
      <c r="B110">
        <v>1</v>
      </c>
      <c r="C110" s="3">
        <v>712</v>
      </c>
      <c r="D110" s="3">
        <v>21999</v>
      </c>
      <c r="E110" s="3">
        <v>21287</v>
      </c>
    </row>
    <row r="111" spans="1:5" x14ac:dyDescent="0.55000000000000004">
      <c r="A111" s="2" t="s">
        <v>88</v>
      </c>
      <c r="B111">
        <v>1</v>
      </c>
      <c r="C111" s="3">
        <v>1475</v>
      </c>
      <c r="D111" s="3">
        <v>23999</v>
      </c>
      <c r="E111" s="3">
        <v>22524</v>
      </c>
    </row>
    <row r="112" spans="1:5" x14ac:dyDescent="0.55000000000000004">
      <c r="A112" s="2" t="s">
        <v>124</v>
      </c>
      <c r="B112">
        <v>1</v>
      </c>
      <c r="C112" s="3">
        <v>2711</v>
      </c>
      <c r="D112" s="3">
        <v>21414</v>
      </c>
      <c r="E112" s="3">
        <v>18703</v>
      </c>
    </row>
    <row r="113" spans="1:5" x14ac:dyDescent="0.55000000000000004">
      <c r="A113" s="2" t="s">
        <v>334</v>
      </c>
      <c r="B113">
        <v>1</v>
      </c>
      <c r="C113" s="3">
        <v>2151</v>
      </c>
      <c r="D113" s="3">
        <v>23999</v>
      </c>
      <c r="E113" s="3">
        <v>21848</v>
      </c>
    </row>
    <row r="114" spans="1:5" x14ac:dyDescent="0.55000000000000004">
      <c r="A114" s="2" t="s">
        <v>186</v>
      </c>
      <c r="B114">
        <v>1</v>
      </c>
      <c r="C114" s="3">
        <v>1808</v>
      </c>
      <c r="D114" s="3">
        <v>22999</v>
      </c>
      <c r="E114" s="3">
        <v>21191</v>
      </c>
    </row>
    <row r="115" spans="1:5" x14ac:dyDescent="0.55000000000000004">
      <c r="A115" s="2" t="s">
        <v>529</v>
      </c>
      <c r="B115">
        <v>1</v>
      </c>
      <c r="C115" s="3">
        <v>1175</v>
      </c>
      <c r="D115" s="3">
        <v>24999</v>
      </c>
      <c r="E115" s="3">
        <v>23824</v>
      </c>
    </row>
    <row r="116" spans="1:5" x14ac:dyDescent="0.55000000000000004">
      <c r="A116" s="2" t="s">
        <v>154</v>
      </c>
      <c r="B116">
        <v>1</v>
      </c>
      <c r="C116" s="3">
        <v>722</v>
      </c>
      <c r="D116" s="3">
        <v>18999</v>
      </c>
      <c r="E116" s="3">
        <v>18277</v>
      </c>
    </row>
    <row r="117" spans="1:5" x14ac:dyDescent="0.55000000000000004">
      <c r="A117" s="2" t="s">
        <v>340</v>
      </c>
      <c r="B117">
        <v>1</v>
      </c>
      <c r="C117" s="3">
        <v>852</v>
      </c>
      <c r="D117" s="3">
        <v>22999</v>
      </c>
      <c r="E117" s="3">
        <v>22147</v>
      </c>
    </row>
    <row r="118" spans="1:5" x14ac:dyDescent="0.55000000000000004">
      <c r="A118" s="2" t="s">
        <v>142</v>
      </c>
      <c r="B118">
        <v>1</v>
      </c>
      <c r="C118" s="3">
        <v>2406</v>
      </c>
      <c r="D118" s="3">
        <v>19999</v>
      </c>
      <c r="E118" s="3">
        <v>17593</v>
      </c>
    </row>
    <row r="119" spans="1:5" x14ac:dyDescent="0.55000000000000004">
      <c r="A119" s="2" t="s">
        <v>176</v>
      </c>
      <c r="B119">
        <v>1</v>
      </c>
      <c r="C119" s="3">
        <v>2330</v>
      </c>
      <c r="D119" s="3">
        <v>26999</v>
      </c>
      <c r="E119" s="3">
        <v>24669</v>
      </c>
    </row>
    <row r="120" spans="1:5" x14ac:dyDescent="0.55000000000000004">
      <c r="A120" s="2" t="s">
        <v>483</v>
      </c>
      <c r="B120">
        <v>1</v>
      </c>
      <c r="C120" s="3">
        <v>4302</v>
      </c>
      <c r="D120" s="3">
        <v>21999</v>
      </c>
      <c r="E120" s="3">
        <v>17697</v>
      </c>
    </row>
    <row r="121" spans="1:5" x14ac:dyDescent="0.55000000000000004">
      <c r="A121" s="2" t="s">
        <v>30</v>
      </c>
      <c r="B121">
        <v>1</v>
      </c>
      <c r="C121" s="3">
        <v>1844</v>
      </c>
      <c r="D121" s="3">
        <v>24000</v>
      </c>
      <c r="E121" s="3">
        <v>22156</v>
      </c>
    </row>
    <row r="122" spans="1:5" x14ac:dyDescent="0.55000000000000004">
      <c r="A122" s="2" t="s">
        <v>592</v>
      </c>
      <c r="B122">
        <v>1</v>
      </c>
      <c r="C122" s="3">
        <v>2352</v>
      </c>
      <c r="D122" s="3">
        <v>22999</v>
      </c>
      <c r="E122" s="3">
        <v>20647</v>
      </c>
    </row>
    <row r="123" spans="1:5" x14ac:dyDescent="0.55000000000000004">
      <c r="A123" s="2" t="s">
        <v>32</v>
      </c>
      <c r="B123">
        <v>1</v>
      </c>
      <c r="C123" s="3">
        <v>4405</v>
      </c>
      <c r="D123" s="3">
        <v>36128</v>
      </c>
      <c r="E123" s="3">
        <v>31723</v>
      </c>
    </row>
    <row r="124" spans="1:5" x14ac:dyDescent="0.55000000000000004">
      <c r="A124" s="2" t="s">
        <v>527</v>
      </c>
      <c r="B124">
        <v>1</v>
      </c>
      <c r="C124" s="3">
        <v>1842</v>
      </c>
      <c r="D124" s="3">
        <v>17999</v>
      </c>
      <c r="E124" s="3">
        <v>16157</v>
      </c>
    </row>
    <row r="125" spans="1:5" x14ac:dyDescent="0.55000000000000004">
      <c r="A125" s="2" t="s">
        <v>511</v>
      </c>
      <c r="B125">
        <v>1</v>
      </c>
      <c r="C125" s="3">
        <v>3280</v>
      </c>
      <c r="D125" s="3">
        <v>30410</v>
      </c>
      <c r="E125" s="3">
        <v>27130</v>
      </c>
    </row>
    <row r="126" spans="1:5" x14ac:dyDescent="0.55000000000000004">
      <c r="A126" s="2" t="s">
        <v>346</v>
      </c>
      <c r="B126">
        <v>1</v>
      </c>
      <c r="C126" s="3">
        <v>1764</v>
      </c>
      <c r="D126" s="3">
        <v>16999</v>
      </c>
      <c r="E126" s="3">
        <v>15235</v>
      </c>
    </row>
    <row r="127" spans="1:5" x14ac:dyDescent="0.55000000000000004">
      <c r="A127" s="2" t="s">
        <v>610</v>
      </c>
      <c r="B127">
        <v>1</v>
      </c>
      <c r="C127" s="3">
        <v>2423</v>
      </c>
      <c r="D127" s="3">
        <v>24638</v>
      </c>
      <c r="E127" s="3">
        <v>22215</v>
      </c>
    </row>
    <row r="128" spans="1:5" x14ac:dyDescent="0.55000000000000004">
      <c r="A128" s="2" t="s">
        <v>385</v>
      </c>
      <c r="B128">
        <v>1</v>
      </c>
      <c r="C128" s="3">
        <v>0</v>
      </c>
      <c r="D128" s="3">
        <v>19999</v>
      </c>
      <c r="E128" s="3">
        <v>19999</v>
      </c>
    </row>
    <row r="129" spans="1:5" x14ac:dyDescent="0.55000000000000004">
      <c r="A129" s="2" t="s">
        <v>600</v>
      </c>
      <c r="B129">
        <v>1</v>
      </c>
      <c r="C129" s="3">
        <v>2560</v>
      </c>
      <c r="D129" s="3">
        <v>20999</v>
      </c>
      <c r="E129" s="3">
        <v>18439</v>
      </c>
    </row>
    <row r="130" spans="1:5" x14ac:dyDescent="0.55000000000000004">
      <c r="A130" s="2" t="s">
        <v>188</v>
      </c>
      <c r="B130">
        <v>1</v>
      </c>
      <c r="C130" s="3">
        <v>2398</v>
      </c>
      <c r="D130" s="3">
        <v>24999</v>
      </c>
      <c r="E130" s="3">
        <v>22601</v>
      </c>
    </row>
    <row r="131" spans="1:5" x14ac:dyDescent="0.55000000000000004">
      <c r="A131" s="2" t="s">
        <v>336</v>
      </c>
      <c r="B131">
        <v>1</v>
      </c>
      <c r="C131" s="3">
        <v>1259</v>
      </c>
      <c r="D131" s="3">
        <v>21999</v>
      </c>
      <c r="E131" s="3">
        <v>20740</v>
      </c>
    </row>
    <row r="132" spans="1:5" x14ac:dyDescent="0.55000000000000004">
      <c r="A132" s="2" t="s">
        <v>302</v>
      </c>
      <c r="B132">
        <v>1</v>
      </c>
      <c r="C132" s="3">
        <v>0</v>
      </c>
      <c r="D132" s="3">
        <v>22999</v>
      </c>
      <c r="E132" s="3">
        <v>22999</v>
      </c>
    </row>
    <row r="133" spans="1:5" x14ac:dyDescent="0.55000000000000004">
      <c r="A133" s="2" t="s">
        <v>106</v>
      </c>
      <c r="B133">
        <v>1</v>
      </c>
      <c r="C133" s="3">
        <v>0</v>
      </c>
      <c r="D133" s="3">
        <v>16999</v>
      </c>
      <c r="E133" s="3">
        <v>16999</v>
      </c>
    </row>
    <row r="134" spans="1:5" x14ac:dyDescent="0.55000000000000004">
      <c r="A134" s="2" t="s">
        <v>318</v>
      </c>
      <c r="B134">
        <v>1</v>
      </c>
      <c r="C134" s="3">
        <v>0</v>
      </c>
      <c r="D134" s="3">
        <v>17999</v>
      </c>
      <c r="E134" s="3">
        <v>17999</v>
      </c>
    </row>
    <row r="135" spans="1:5" x14ac:dyDescent="0.55000000000000004">
      <c r="A135" s="2" t="s">
        <v>481</v>
      </c>
      <c r="B135">
        <v>1</v>
      </c>
      <c r="C135" s="3">
        <v>0</v>
      </c>
      <c r="D135" s="3">
        <v>18999</v>
      </c>
      <c r="E135" s="3">
        <v>18999</v>
      </c>
    </row>
    <row r="136" spans="1:5" x14ac:dyDescent="0.55000000000000004">
      <c r="A136" s="2" t="s">
        <v>160</v>
      </c>
      <c r="B136">
        <v>1</v>
      </c>
      <c r="C136" s="3">
        <v>1875</v>
      </c>
      <c r="D136" s="3">
        <v>27999</v>
      </c>
      <c r="E136" s="3">
        <v>26124</v>
      </c>
    </row>
    <row r="137" spans="1:5" x14ac:dyDescent="0.55000000000000004">
      <c r="A137" s="2" t="s">
        <v>491</v>
      </c>
      <c r="B137">
        <v>1</v>
      </c>
      <c r="C137" s="3">
        <v>1003</v>
      </c>
      <c r="D137" s="3">
        <v>18999</v>
      </c>
      <c r="E137" s="3">
        <v>17996</v>
      </c>
    </row>
    <row r="138" spans="1:5" x14ac:dyDescent="0.55000000000000004">
      <c r="A138" s="2" t="s">
        <v>570</v>
      </c>
      <c r="B138">
        <v>1</v>
      </c>
      <c r="C138" s="3">
        <v>1902</v>
      </c>
      <c r="D138" s="3">
        <v>24999</v>
      </c>
      <c r="E138" s="3">
        <v>23097</v>
      </c>
    </row>
    <row r="139" spans="1:5" x14ac:dyDescent="0.55000000000000004">
      <c r="A139" s="2" t="s">
        <v>457</v>
      </c>
      <c r="B139">
        <v>1</v>
      </c>
      <c r="C139" s="3">
        <v>0</v>
      </c>
      <c r="D139" s="3">
        <v>17999</v>
      </c>
      <c r="E139" s="3">
        <v>17999</v>
      </c>
    </row>
    <row r="140" spans="1:5" x14ac:dyDescent="0.55000000000000004">
      <c r="A140" s="2" t="s">
        <v>582</v>
      </c>
      <c r="B140">
        <v>1</v>
      </c>
      <c r="C140" s="3">
        <v>2331</v>
      </c>
      <c r="D140" s="3">
        <v>25999</v>
      </c>
      <c r="E140" s="3">
        <v>23668</v>
      </c>
    </row>
    <row r="141" spans="1:5" x14ac:dyDescent="0.55000000000000004">
      <c r="A141" s="2" t="s">
        <v>252</v>
      </c>
      <c r="B141">
        <v>1</v>
      </c>
      <c r="C141" s="3">
        <v>2746</v>
      </c>
      <c r="D141" s="3">
        <v>20499</v>
      </c>
      <c r="E141" s="3">
        <v>17753</v>
      </c>
    </row>
    <row r="142" spans="1:5" x14ac:dyDescent="0.55000000000000004">
      <c r="A142" s="2" t="s">
        <v>572</v>
      </c>
      <c r="B142">
        <v>1</v>
      </c>
      <c r="C142" s="3">
        <v>0</v>
      </c>
      <c r="D142" s="3">
        <v>17999</v>
      </c>
      <c r="E142" s="3">
        <v>17999</v>
      </c>
    </row>
    <row r="143" spans="1:5" x14ac:dyDescent="0.55000000000000004">
      <c r="A143" s="2" t="s">
        <v>588</v>
      </c>
      <c r="B143">
        <v>1</v>
      </c>
      <c r="C143" s="3">
        <v>2550</v>
      </c>
      <c r="D143" s="3">
        <v>25000</v>
      </c>
      <c r="E143" s="3">
        <v>22450</v>
      </c>
    </row>
    <row r="144" spans="1:5" x14ac:dyDescent="0.55000000000000004">
      <c r="A144" s="2" t="s">
        <v>429</v>
      </c>
      <c r="B144">
        <v>1</v>
      </c>
      <c r="C144" s="3">
        <v>1670</v>
      </c>
      <c r="D144" s="3">
        <v>25999</v>
      </c>
      <c r="E144" s="3">
        <v>24329</v>
      </c>
    </row>
    <row r="145" spans="1:5" x14ac:dyDescent="0.55000000000000004">
      <c r="A145" s="2" t="s">
        <v>423</v>
      </c>
      <c r="B145">
        <v>1</v>
      </c>
      <c r="C145" s="3">
        <v>2898</v>
      </c>
      <c r="D145" s="3">
        <v>26999</v>
      </c>
      <c r="E145" s="3">
        <v>24101</v>
      </c>
    </row>
    <row r="146" spans="1:5" x14ac:dyDescent="0.55000000000000004">
      <c r="A146" s="2" t="s">
        <v>256</v>
      </c>
      <c r="B146">
        <v>1</v>
      </c>
      <c r="C146" s="3">
        <v>4777</v>
      </c>
      <c r="D146" s="3">
        <v>29999</v>
      </c>
      <c r="E146" s="3">
        <v>25222</v>
      </c>
    </row>
    <row r="147" spans="1:5" x14ac:dyDescent="0.55000000000000004">
      <c r="A147" s="2" t="s">
        <v>248</v>
      </c>
      <c r="B147">
        <v>1</v>
      </c>
      <c r="C147" s="3">
        <v>0</v>
      </c>
      <c r="D147" s="3">
        <v>15999</v>
      </c>
      <c r="E147" s="3">
        <v>15999</v>
      </c>
    </row>
    <row r="148" spans="1:5" x14ac:dyDescent="0.55000000000000004">
      <c r="A148" s="2" t="s">
        <v>182</v>
      </c>
      <c r="B148">
        <v>1</v>
      </c>
      <c r="C148" s="3">
        <v>2839</v>
      </c>
      <c r="D148" s="3">
        <v>34999</v>
      </c>
      <c r="E148" s="3">
        <v>32160</v>
      </c>
    </row>
    <row r="149" spans="1:5" x14ac:dyDescent="0.55000000000000004">
      <c r="A149" s="2" t="s">
        <v>368</v>
      </c>
      <c r="B149">
        <v>1</v>
      </c>
      <c r="C149" s="3">
        <v>2162</v>
      </c>
      <c r="D149" s="3">
        <v>22999</v>
      </c>
      <c r="E149" s="3">
        <v>20837</v>
      </c>
    </row>
    <row r="150" spans="1:5" x14ac:dyDescent="0.55000000000000004">
      <c r="A150" s="2" t="s">
        <v>312</v>
      </c>
      <c r="B150">
        <v>1</v>
      </c>
      <c r="C150" s="3">
        <v>2969</v>
      </c>
      <c r="D150" s="3">
        <v>31999</v>
      </c>
      <c r="E150" s="3">
        <v>29030</v>
      </c>
    </row>
    <row r="151" spans="1:5" x14ac:dyDescent="0.55000000000000004">
      <c r="A151" s="2" t="s">
        <v>264</v>
      </c>
      <c r="B151">
        <v>1</v>
      </c>
      <c r="C151" s="3">
        <v>1415</v>
      </c>
      <c r="D151" s="3">
        <v>20999</v>
      </c>
      <c r="E151" s="3">
        <v>19584</v>
      </c>
    </row>
    <row r="152" spans="1:5" x14ac:dyDescent="0.55000000000000004">
      <c r="A152" s="2" t="s">
        <v>556</v>
      </c>
      <c r="B152">
        <v>1</v>
      </c>
      <c r="C152" s="3">
        <v>2069</v>
      </c>
      <c r="D152" s="3">
        <v>28999</v>
      </c>
      <c r="E152" s="3">
        <v>26930</v>
      </c>
    </row>
    <row r="153" spans="1:5" x14ac:dyDescent="0.55000000000000004">
      <c r="A153" s="2" t="s">
        <v>576</v>
      </c>
      <c r="B153">
        <v>1</v>
      </c>
      <c r="C153" s="3">
        <v>1524</v>
      </c>
      <c r="D153" s="3">
        <v>18999</v>
      </c>
      <c r="E153" s="3">
        <v>17475</v>
      </c>
    </row>
    <row r="154" spans="1:5" x14ac:dyDescent="0.55000000000000004">
      <c r="A154" s="2" t="s">
        <v>316</v>
      </c>
      <c r="B154">
        <v>1</v>
      </c>
      <c r="C154" s="3">
        <v>1635</v>
      </c>
      <c r="D154" s="3">
        <v>23999</v>
      </c>
      <c r="E154" s="3">
        <v>22364</v>
      </c>
    </row>
    <row r="155" spans="1:5" x14ac:dyDescent="0.55000000000000004">
      <c r="A155" s="2" t="s">
        <v>44</v>
      </c>
      <c r="B155">
        <v>1</v>
      </c>
      <c r="C155" s="3">
        <v>4999</v>
      </c>
      <c r="D155" s="3">
        <v>26999</v>
      </c>
      <c r="E155" s="3">
        <v>22000</v>
      </c>
    </row>
    <row r="156" spans="1:5" x14ac:dyDescent="0.55000000000000004">
      <c r="A156" s="2" t="s">
        <v>485</v>
      </c>
      <c r="B156">
        <v>1</v>
      </c>
      <c r="C156" s="3">
        <v>3111</v>
      </c>
      <c r="D156" s="3">
        <v>31999</v>
      </c>
      <c r="E156" s="3">
        <v>28888</v>
      </c>
    </row>
    <row r="157" spans="1:5" x14ac:dyDescent="0.55000000000000004">
      <c r="A157" s="2" t="s">
        <v>108</v>
      </c>
      <c r="B157">
        <v>1</v>
      </c>
      <c r="C157" s="3">
        <v>2009</v>
      </c>
      <c r="D157" s="3">
        <v>20999</v>
      </c>
      <c r="E157" s="3">
        <v>18990</v>
      </c>
    </row>
    <row r="158" spans="1:5" x14ac:dyDescent="0.55000000000000004">
      <c r="A158" s="2" t="s">
        <v>509</v>
      </c>
      <c r="B158">
        <v>1</v>
      </c>
      <c r="C158" s="3">
        <v>2011</v>
      </c>
      <c r="D158" s="3">
        <v>42999</v>
      </c>
      <c r="E158" s="3">
        <v>40988</v>
      </c>
    </row>
    <row r="159" spans="1:5" x14ac:dyDescent="0.55000000000000004">
      <c r="A159" s="2" t="s">
        <v>234</v>
      </c>
      <c r="B159">
        <v>1</v>
      </c>
      <c r="C159" s="3">
        <v>4336</v>
      </c>
      <c r="D159" s="3">
        <v>21999</v>
      </c>
      <c r="E159" s="3">
        <v>17663</v>
      </c>
    </row>
    <row r="160" spans="1:5" x14ac:dyDescent="0.55000000000000004">
      <c r="A160" s="2" t="s">
        <v>162</v>
      </c>
      <c r="B160">
        <v>1</v>
      </c>
      <c r="C160" s="3">
        <v>1234</v>
      </c>
      <c r="D160" s="3">
        <v>18999</v>
      </c>
      <c r="E160" s="3">
        <v>17765</v>
      </c>
    </row>
    <row r="161" spans="1:5" x14ac:dyDescent="0.55000000000000004">
      <c r="A161" s="2" t="s">
        <v>47</v>
      </c>
      <c r="B161">
        <v>1</v>
      </c>
      <c r="C161" s="3">
        <v>0</v>
      </c>
      <c r="D161" s="3">
        <v>18999</v>
      </c>
      <c r="E161" s="3">
        <v>18999</v>
      </c>
    </row>
    <row r="162" spans="1:5" x14ac:dyDescent="0.55000000000000004">
      <c r="A162" s="2" t="s">
        <v>172</v>
      </c>
      <c r="B162">
        <v>1</v>
      </c>
      <c r="C162" s="3">
        <v>3262</v>
      </c>
      <c r="D162" s="3">
        <v>25999</v>
      </c>
      <c r="E162" s="3">
        <v>22737</v>
      </c>
    </row>
    <row r="163" spans="1:5" x14ac:dyDescent="0.55000000000000004">
      <c r="A163" s="2" t="s">
        <v>49</v>
      </c>
      <c r="B163">
        <v>1</v>
      </c>
      <c r="C163" s="3">
        <v>1645</v>
      </c>
      <c r="D163" s="3">
        <v>23999</v>
      </c>
      <c r="E163" s="3">
        <v>22354</v>
      </c>
    </row>
    <row r="164" spans="1:5" x14ac:dyDescent="0.55000000000000004">
      <c r="A164" s="2" t="s">
        <v>240</v>
      </c>
      <c r="B164">
        <v>1</v>
      </c>
      <c r="C164" s="3">
        <v>2297</v>
      </c>
      <c r="D164" s="3">
        <v>22999</v>
      </c>
      <c r="E164" s="3">
        <v>20702</v>
      </c>
    </row>
    <row r="165" spans="1:5" x14ac:dyDescent="0.55000000000000004">
      <c r="A165" s="2" t="s">
        <v>354</v>
      </c>
      <c r="B165">
        <v>1</v>
      </c>
      <c r="C165" s="3">
        <v>0</v>
      </c>
      <c r="D165" s="3">
        <v>20999</v>
      </c>
      <c r="E165" s="3">
        <v>20999</v>
      </c>
    </row>
    <row r="166" spans="1:5" x14ac:dyDescent="0.55000000000000004">
      <c r="A166" s="2" t="s">
        <v>242</v>
      </c>
      <c r="B166">
        <v>1</v>
      </c>
      <c r="C166" s="3">
        <v>0</v>
      </c>
      <c r="D166" s="3">
        <v>18999</v>
      </c>
      <c r="E166" s="3">
        <v>18999</v>
      </c>
    </row>
    <row r="167" spans="1:5" x14ac:dyDescent="0.55000000000000004">
      <c r="A167" s="2" t="s">
        <v>102</v>
      </c>
      <c r="B167">
        <v>1</v>
      </c>
      <c r="C167" s="3">
        <v>1836</v>
      </c>
      <c r="D167" s="3">
        <v>21999</v>
      </c>
      <c r="E167" s="3">
        <v>20163</v>
      </c>
    </row>
    <row r="168" spans="1:5" x14ac:dyDescent="0.55000000000000004">
      <c r="A168" s="2" t="s">
        <v>168</v>
      </c>
      <c r="B168">
        <v>1</v>
      </c>
      <c r="C168" s="3">
        <v>1428</v>
      </c>
      <c r="D168" s="3">
        <v>21575</v>
      </c>
      <c r="E168" s="3">
        <v>20147</v>
      </c>
    </row>
    <row r="169" spans="1:5" x14ac:dyDescent="0.55000000000000004">
      <c r="A169" s="2" t="s">
        <v>634</v>
      </c>
      <c r="B169">
        <v>1</v>
      </c>
      <c r="C169" s="3">
        <v>1846</v>
      </c>
      <c r="D169" s="3">
        <v>16999</v>
      </c>
      <c r="E169" s="3">
        <v>15153</v>
      </c>
    </row>
    <row r="170" spans="1:5" x14ac:dyDescent="0.55000000000000004">
      <c r="A170" s="2" t="s">
        <v>164</v>
      </c>
      <c r="B170">
        <v>1</v>
      </c>
      <c r="C170" s="3">
        <v>1479</v>
      </c>
      <c r="D170" s="3">
        <v>25999</v>
      </c>
      <c r="E170" s="3">
        <v>24520</v>
      </c>
    </row>
    <row r="171" spans="1:5" x14ac:dyDescent="0.55000000000000004">
      <c r="A171" s="2" t="s">
        <v>250</v>
      </c>
      <c r="B171">
        <v>1</v>
      </c>
      <c r="C171" s="3">
        <v>3237</v>
      </c>
      <c r="D171" s="3">
        <v>28999</v>
      </c>
      <c r="E171" s="3">
        <v>25762</v>
      </c>
    </row>
    <row r="172" spans="1:5" x14ac:dyDescent="0.55000000000000004">
      <c r="A172" s="2" t="s">
        <v>415</v>
      </c>
      <c r="B172">
        <v>1</v>
      </c>
      <c r="C172" s="3">
        <v>1252</v>
      </c>
      <c r="D172" s="3">
        <v>17999</v>
      </c>
      <c r="E172" s="3">
        <v>16747</v>
      </c>
    </row>
    <row r="173" spans="1:5" x14ac:dyDescent="0.55000000000000004">
      <c r="A173" s="2" t="s">
        <v>222</v>
      </c>
      <c r="B173">
        <v>1</v>
      </c>
      <c r="C173" s="3">
        <v>3628</v>
      </c>
      <c r="D173" s="3">
        <v>21999</v>
      </c>
      <c r="E173" s="3">
        <v>18371</v>
      </c>
    </row>
    <row r="174" spans="1:5" x14ac:dyDescent="0.55000000000000004">
      <c r="A174" s="2" t="s">
        <v>564</v>
      </c>
      <c r="B174">
        <v>1</v>
      </c>
      <c r="C174" s="3">
        <v>2168</v>
      </c>
      <c r="D174" s="3">
        <v>21999</v>
      </c>
      <c r="E174" s="3">
        <v>19831</v>
      </c>
    </row>
    <row r="175" spans="1:5" x14ac:dyDescent="0.55000000000000004">
      <c r="A175" s="2" t="s">
        <v>322</v>
      </c>
      <c r="B175">
        <v>1</v>
      </c>
      <c r="C175" s="3">
        <v>1070</v>
      </c>
      <c r="D175" s="3">
        <v>22999</v>
      </c>
      <c r="E175" s="3">
        <v>21929</v>
      </c>
    </row>
    <row r="176" spans="1:5" x14ac:dyDescent="0.55000000000000004">
      <c r="A176" s="2" t="s">
        <v>190</v>
      </c>
      <c r="B176">
        <v>1</v>
      </c>
      <c r="C176" s="3">
        <v>2287</v>
      </c>
      <c r="D176" s="3">
        <v>24999</v>
      </c>
      <c r="E176" s="3">
        <v>22712</v>
      </c>
    </row>
    <row r="177" spans="1:5" x14ac:dyDescent="0.55000000000000004">
      <c r="A177" s="2" t="s">
        <v>539</v>
      </c>
      <c r="B177">
        <v>1</v>
      </c>
      <c r="C177" s="3">
        <v>0</v>
      </c>
      <c r="D177" s="3">
        <v>26000</v>
      </c>
      <c r="E177" s="3">
        <v>26000</v>
      </c>
    </row>
    <row r="178" spans="1:5" x14ac:dyDescent="0.55000000000000004">
      <c r="A178" s="2" t="s">
        <v>413</v>
      </c>
      <c r="B178">
        <v>1</v>
      </c>
      <c r="C178" s="3">
        <v>0</v>
      </c>
      <c r="D178" s="3">
        <v>23999</v>
      </c>
      <c r="E178" s="3">
        <v>23999</v>
      </c>
    </row>
    <row r="179" spans="1:5" x14ac:dyDescent="0.55000000000000004">
      <c r="A179" s="2" t="s">
        <v>294</v>
      </c>
      <c r="B179">
        <v>1</v>
      </c>
      <c r="C179" s="3">
        <v>1499</v>
      </c>
      <c r="D179" s="3">
        <v>27999</v>
      </c>
      <c r="E179" s="3">
        <v>26500</v>
      </c>
    </row>
    <row r="180" spans="1:5" x14ac:dyDescent="0.55000000000000004">
      <c r="A180" s="2" t="s">
        <v>507</v>
      </c>
      <c r="B180">
        <v>1</v>
      </c>
      <c r="C180" s="3">
        <v>4680</v>
      </c>
      <c r="D180" s="3">
        <v>58998</v>
      </c>
      <c r="E180" s="3">
        <v>54318</v>
      </c>
    </row>
    <row r="181" spans="1:5" x14ac:dyDescent="0.55000000000000004">
      <c r="A181" s="2" t="s">
        <v>282</v>
      </c>
      <c r="B181">
        <v>1</v>
      </c>
      <c r="C181" s="3">
        <v>853</v>
      </c>
      <c r="D181" s="3">
        <v>21000</v>
      </c>
      <c r="E181" s="3">
        <v>20147</v>
      </c>
    </row>
    <row r="182" spans="1:5" x14ac:dyDescent="0.55000000000000004">
      <c r="A182" s="2" t="s">
        <v>306</v>
      </c>
      <c r="B182">
        <v>1</v>
      </c>
      <c r="C182" s="3">
        <v>3264</v>
      </c>
      <c r="D182" s="3">
        <v>26999</v>
      </c>
      <c r="E182" s="3">
        <v>23735</v>
      </c>
    </row>
    <row r="183" spans="1:5" x14ac:dyDescent="0.55000000000000004">
      <c r="A183" s="2" t="s">
        <v>630</v>
      </c>
      <c r="B183">
        <v>1</v>
      </c>
      <c r="C183" s="3">
        <v>0</v>
      </c>
      <c r="D183" s="3">
        <v>18999</v>
      </c>
      <c r="E183" s="3">
        <v>18999</v>
      </c>
    </row>
    <row r="184" spans="1:5" x14ac:dyDescent="0.55000000000000004">
      <c r="A184" s="2" t="s">
        <v>574</v>
      </c>
      <c r="B184">
        <v>1</v>
      </c>
      <c r="C184" s="3">
        <v>1681</v>
      </c>
      <c r="D184" s="3">
        <v>21999</v>
      </c>
      <c r="E184" s="3">
        <v>20318</v>
      </c>
    </row>
    <row r="185" spans="1:5" x14ac:dyDescent="0.55000000000000004">
      <c r="A185" s="2" t="s">
        <v>489</v>
      </c>
      <c r="B185">
        <v>1</v>
      </c>
      <c r="C185" s="3">
        <v>0</v>
      </c>
      <c r="D185" s="3">
        <v>19999</v>
      </c>
      <c r="E185" s="3">
        <v>19999</v>
      </c>
    </row>
    <row r="186" spans="1:5" x14ac:dyDescent="0.55000000000000004">
      <c r="A186" s="2" t="s">
        <v>495</v>
      </c>
      <c r="B186">
        <v>1</v>
      </c>
      <c r="C186" s="3">
        <v>4222</v>
      </c>
      <c r="D186" s="3">
        <v>31999</v>
      </c>
      <c r="E186" s="3">
        <v>27777</v>
      </c>
    </row>
    <row r="187" spans="1:5" x14ac:dyDescent="0.55000000000000004">
      <c r="A187" s="2" t="s">
        <v>120</v>
      </c>
      <c r="B187">
        <v>1</v>
      </c>
      <c r="C187" s="3">
        <v>4888</v>
      </c>
      <c r="D187" s="3">
        <v>21999</v>
      </c>
      <c r="E187" s="3">
        <v>17111</v>
      </c>
    </row>
    <row r="188" spans="1:5" x14ac:dyDescent="0.55000000000000004">
      <c r="A188" s="2" t="s">
        <v>364</v>
      </c>
      <c r="B188">
        <v>1</v>
      </c>
      <c r="C188" s="3">
        <v>3312</v>
      </c>
      <c r="D188" s="3">
        <v>27999</v>
      </c>
      <c r="E188" s="3">
        <v>24687</v>
      </c>
    </row>
    <row r="189" spans="1:5" x14ac:dyDescent="0.55000000000000004">
      <c r="A189" s="2" t="s">
        <v>624</v>
      </c>
      <c r="B189">
        <v>1</v>
      </c>
      <c r="C189" s="3">
        <v>0</v>
      </c>
      <c r="D189" s="3">
        <v>14999</v>
      </c>
      <c r="E189" s="3">
        <v>14999</v>
      </c>
    </row>
    <row r="190" spans="1:5" x14ac:dyDescent="0.55000000000000004">
      <c r="A190" s="2" t="s">
        <v>344</v>
      </c>
      <c r="B190">
        <v>1</v>
      </c>
      <c r="C190" s="3">
        <v>3355</v>
      </c>
      <c r="D190" s="3">
        <v>20999</v>
      </c>
      <c r="E190" s="3">
        <v>17644</v>
      </c>
    </row>
    <row r="191" spans="1:5" x14ac:dyDescent="0.55000000000000004">
      <c r="A191" s="2" t="s">
        <v>238</v>
      </c>
      <c r="B191">
        <v>1</v>
      </c>
      <c r="C191" s="3">
        <v>2467</v>
      </c>
      <c r="D191" s="3">
        <v>15999</v>
      </c>
      <c r="E191" s="3">
        <v>13532</v>
      </c>
    </row>
    <row r="192" spans="1:5" x14ac:dyDescent="0.55000000000000004">
      <c r="A192" s="2" t="s">
        <v>276</v>
      </c>
      <c r="B192">
        <v>1</v>
      </c>
      <c r="C192" s="3">
        <v>1891</v>
      </c>
      <c r="D192" s="3">
        <v>27000</v>
      </c>
      <c r="E192" s="3">
        <v>25109</v>
      </c>
    </row>
    <row r="193" spans="1:5" x14ac:dyDescent="0.55000000000000004">
      <c r="A193" s="2" t="s">
        <v>208</v>
      </c>
      <c r="B193">
        <v>1</v>
      </c>
      <c r="C193" s="3">
        <v>0</v>
      </c>
      <c r="D193" s="3">
        <v>28580</v>
      </c>
      <c r="E193" s="3">
        <v>28580</v>
      </c>
    </row>
    <row r="194" spans="1:5" x14ac:dyDescent="0.55000000000000004">
      <c r="A194" s="2" t="s">
        <v>68</v>
      </c>
      <c r="B194">
        <v>1</v>
      </c>
      <c r="C194" s="3">
        <v>3073</v>
      </c>
      <c r="D194" s="3">
        <v>29000</v>
      </c>
      <c r="E194" s="3">
        <v>25927</v>
      </c>
    </row>
    <row r="195" spans="1:5" x14ac:dyDescent="0.55000000000000004">
      <c r="A195" s="2" t="s">
        <v>473</v>
      </c>
      <c r="B195">
        <v>1</v>
      </c>
      <c r="C195" s="3">
        <v>2591</v>
      </c>
      <c r="D195" s="3">
        <v>17999</v>
      </c>
      <c r="E195" s="3">
        <v>15408</v>
      </c>
    </row>
    <row r="196" spans="1:5" x14ac:dyDescent="0.55000000000000004">
      <c r="A196" s="2" t="s">
        <v>138</v>
      </c>
      <c r="B196">
        <v>1</v>
      </c>
      <c r="C196" s="3">
        <v>4022</v>
      </c>
      <c r="D196" s="3">
        <v>37500</v>
      </c>
      <c r="E196" s="3">
        <v>33478</v>
      </c>
    </row>
    <row r="197" spans="1:5" x14ac:dyDescent="0.55000000000000004">
      <c r="A197" s="2" t="s">
        <v>493</v>
      </c>
      <c r="B197">
        <v>1</v>
      </c>
      <c r="C197" s="3">
        <v>2421</v>
      </c>
      <c r="D197" s="3">
        <v>22999</v>
      </c>
      <c r="E197" s="3">
        <v>20578</v>
      </c>
    </row>
    <row r="198" spans="1:5" x14ac:dyDescent="0.55000000000000004">
      <c r="A198" s="2" t="s">
        <v>350</v>
      </c>
      <c r="B198">
        <v>1</v>
      </c>
      <c r="C198" s="3">
        <v>3047</v>
      </c>
      <c r="D198" s="3">
        <v>29000</v>
      </c>
      <c r="E198" s="3">
        <v>25953</v>
      </c>
    </row>
    <row r="199" spans="1:5" x14ac:dyDescent="0.55000000000000004">
      <c r="A199" s="2" t="s">
        <v>136</v>
      </c>
      <c r="B199">
        <v>1</v>
      </c>
      <c r="C199" s="3">
        <v>2312</v>
      </c>
      <c r="D199" s="3">
        <v>26999</v>
      </c>
      <c r="E199" s="3">
        <v>24687</v>
      </c>
    </row>
    <row r="200" spans="1:5" x14ac:dyDescent="0.55000000000000004">
      <c r="A200" s="2" t="s">
        <v>226</v>
      </c>
      <c r="B200">
        <v>1</v>
      </c>
      <c r="C200" s="3">
        <v>0</v>
      </c>
      <c r="D200" s="3">
        <v>30000</v>
      </c>
      <c r="E200" s="3">
        <v>30000</v>
      </c>
    </row>
    <row r="201" spans="1:5" x14ac:dyDescent="0.55000000000000004">
      <c r="A201" s="2" t="s">
        <v>320</v>
      </c>
      <c r="B201">
        <v>1</v>
      </c>
      <c r="C201" s="3">
        <v>2926</v>
      </c>
      <c r="D201" s="3">
        <v>30543</v>
      </c>
      <c r="E201" s="3">
        <v>27617</v>
      </c>
    </row>
    <row r="202" spans="1:5" x14ac:dyDescent="0.55000000000000004">
      <c r="A202" s="2" t="s">
        <v>409</v>
      </c>
      <c r="B202">
        <v>1</v>
      </c>
      <c r="C202" s="3">
        <v>2472</v>
      </c>
      <c r="D202" s="3">
        <v>24000</v>
      </c>
      <c r="E202" s="3">
        <v>21528</v>
      </c>
    </row>
    <row r="203" spans="1:5" x14ac:dyDescent="0.55000000000000004">
      <c r="A203" s="2" t="s">
        <v>216</v>
      </c>
      <c r="B203">
        <v>1</v>
      </c>
      <c r="C203" s="3">
        <v>1929</v>
      </c>
      <c r="D203" s="3">
        <v>18999</v>
      </c>
      <c r="E203" s="3">
        <v>17070</v>
      </c>
    </row>
    <row r="204" spans="1:5" x14ac:dyDescent="0.55000000000000004">
      <c r="A204" s="2" t="s">
        <v>411</v>
      </c>
      <c r="B204">
        <v>1</v>
      </c>
      <c r="C204" s="3">
        <v>0</v>
      </c>
      <c r="D204" s="3">
        <v>32299</v>
      </c>
      <c r="E204" s="3">
        <v>32299</v>
      </c>
    </row>
    <row r="205" spans="1:5" x14ac:dyDescent="0.55000000000000004">
      <c r="A205" s="2" t="s">
        <v>198</v>
      </c>
      <c r="B205">
        <v>1</v>
      </c>
      <c r="C205" s="3">
        <v>1297</v>
      </c>
      <c r="D205" s="3">
        <v>17999</v>
      </c>
      <c r="E205" s="3">
        <v>16702</v>
      </c>
    </row>
    <row r="206" spans="1:5" x14ac:dyDescent="0.55000000000000004">
      <c r="A206" s="2" t="s">
        <v>304</v>
      </c>
      <c r="B206">
        <v>1</v>
      </c>
      <c r="C206" s="3">
        <v>2551</v>
      </c>
      <c r="D206" s="3">
        <v>25000</v>
      </c>
      <c r="E206" s="3">
        <v>22449</v>
      </c>
    </row>
    <row r="207" spans="1:5" x14ac:dyDescent="0.55000000000000004">
      <c r="A207" s="2" t="s">
        <v>130</v>
      </c>
      <c r="B207">
        <v>1</v>
      </c>
      <c r="C207" s="3">
        <v>0</v>
      </c>
      <c r="D207" s="3">
        <v>16999</v>
      </c>
      <c r="E207" s="3">
        <v>16999</v>
      </c>
    </row>
    <row r="208" spans="1:5" x14ac:dyDescent="0.55000000000000004">
      <c r="A208" s="2" t="s">
        <v>34</v>
      </c>
      <c r="B208">
        <v>1</v>
      </c>
      <c r="C208" s="3">
        <v>3390</v>
      </c>
      <c r="D208" s="3">
        <v>32000</v>
      </c>
      <c r="E208" s="3">
        <v>28610</v>
      </c>
    </row>
    <row r="209" spans="1:5" x14ac:dyDescent="0.55000000000000004">
      <c r="A209" s="2" t="s">
        <v>40</v>
      </c>
      <c r="B209">
        <v>1</v>
      </c>
      <c r="C209" s="3">
        <v>1811</v>
      </c>
      <c r="D209" s="3">
        <v>28999</v>
      </c>
      <c r="E209" s="3">
        <v>27188</v>
      </c>
    </row>
    <row r="210" spans="1:5" x14ac:dyDescent="0.55000000000000004">
      <c r="A210" s="2" t="s">
        <v>505</v>
      </c>
      <c r="B210">
        <v>1</v>
      </c>
      <c r="C210" s="3">
        <v>2973</v>
      </c>
      <c r="D210" s="3">
        <v>30000</v>
      </c>
      <c r="E210" s="3">
        <v>27027</v>
      </c>
    </row>
    <row r="211" spans="1:5" x14ac:dyDescent="0.55000000000000004">
      <c r="A211" s="2" t="s">
        <v>114</v>
      </c>
      <c r="B211">
        <v>1</v>
      </c>
      <c r="C211" s="3">
        <v>0</v>
      </c>
      <c r="D211" s="3">
        <v>25999</v>
      </c>
      <c r="E211" s="3">
        <v>25999</v>
      </c>
    </row>
    <row r="212" spans="1:5" x14ac:dyDescent="0.55000000000000004">
      <c r="A212" s="2" t="s">
        <v>236</v>
      </c>
      <c r="B212">
        <v>1</v>
      </c>
      <c r="C212" s="3">
        <v>3449</v>
      </c>
      <c r="D212" s="3">
        <v>32000</v>
      </c>
      <c r="E212" s="3">
        <v>28551</v>
      </c>
    </row>
    <row r="213" spans="1:5" x14ac:dyDescent="0.55000000000000004">
      <c r="A213" s="2" t="s">
        <v>523</v>
      </c>
      <c r="B213">
        <v>1</v>
      </c>
      <c r="C213" s="3">
        <v>0</v>
      </c>
      <c r="D213" s="3">
        <v>16999</v>
      </c>
      <c r="E213" s="3">
        <v>16999</v>
      </c>
    </row>
    <row r="214" spans="1:5" x14ac:dyDescent="0.55000000000000004">
      <c r="A214" s="2" t="s">
        <v>132</v>
      </c>
      <c r="B214">
        <v>1</v>
      </c>
      <c r="C214" s="3">
        <v>3562</v>
      </c>
      <c r="D214" s="3">
        <v>25999</v>
      </c>
      <c r="E214" s="3">
        <v>22437</v>
      </c>
    </row>
    <row r="215" spans="1:5" x14ac:dyDescent="0.55000000000000004">
      <c r="A215" s="2" t="s">
        <v>116</v>
      </c>
      <c r="B215">
        <v>1</v>
      </c>
      <c r="C215" s="3">
        <v>1633</v>
      </c>
      <c r="D215" s="3">
        <v>17999</v>
      </c>
      <c r="E215" s="3">
        <v>16366</v>
      </c>
    </row>
    <row r="216" spans="1:5" x14ac:dyDescent="0.55000000000000004">
      <c r="A216" s="2" t="s">
        <v>42</v>
      </c>
      <c r="B216">
        <v>1</v>
      </c>
      <c r="C216" s="3">
        <v>0</v>
      </c>
      <c r="D216" s="3">
        <v>95999</v>
      </c>
      <c r="E216" s="3">
        <v>95999</v>
      </c>
    </row>
    <row r="217" spans="1:5" x14ac:dyDescent="0.55000000000000004">
      <c r="A217" s="2" t="s">
        <v>467</v>
      </c>
      <c r="B217">
        <v>1</v>
      </c>
      <c r="C217" s="3">
        <v>2583</v>
      </c>
      <c r="D217" s="3">
        <v>27999</v>
      </c>
      <c r="E217" s="3">
        <v>25416</v>
      </c>
    </row>
    <row r="218" spans="1:5" x14ac:dyDescent="0.55000000000000004">
      <c r="A218" s="2" t="s">
        <v>383</v>
      </c>
      <c r="B218">
        <v>1</v>
      </c>
      <c r="C218" s="3">
        <v>2310</v>
      </c>
      <c r="D218" s="3">
        <v>31000</v>
      </c>
      <c r="E218" s="3">
        <v>28690</v>
      </c>
    </row>
    <row r="219" spans="1:5" x14ac:dyDescent="0.55000000000000004">
      <c r="A219" s="2" t="s">
        <v>445</v>
      </c>
      <c r="B219">
        <v>1</v>
      </c>
      <c r="C219" s="3">
        <v>2541</v>
      </c>
      <c r="D219" s="3">
        <v>26999</v>
      </c>
      <c r="E219" s="3">
        <v>24458</v>
      </c>
    </row>
    <row r="220" spans="1:5" x14ac:dyDescent="0.55000000000000004">
      <c r="A220" s="2" t="s">
        <v>548</v>
      </c>
      <c r="B220">
        <v>1</v>
      </c>
      <c r="C220" s="3">
        <v>3234</v>
      </c>
      <c r="D220" s="3">
        <v>32000</v>
      </c>
      <c r="E220" s="3">
        <v>28766</v>
      </c>
    </row>
    <row r="221" spans="1:5" x14ac:dyDescent="0.55000000000000004">
      <c r="A221" s="2" t="s">
        <v>616</v>
      </c>
      <c r="B221">
        <v>1</v>
      </c>
      <c r="C221" s="3">
        <v>0</v>
      </c>
      <c r="D221" s="3">
        <v>20999</v>
      </c>
      <c r="E221" s="3">
        <v>20999</v>
      </c>
    </row>
    <row r="222" spans="1:5" x14ac:dyDescent="0.55000000000000004">
      <c r="A222" s="2" t="s">
        <v>362</v>
      </c>
      <c r="B222">
        <v>1</v>
      </c>
      <c r="C222" s="3">
        <v>1570</v>
      </c>
      <c r="D222" s="3">
        <v>29000</v>
      </c>
      <c r="E222" s="3">
        <v>27430</v>
      </c>
    </row>
    <row r="223" spans="1:5" x14ac:dyDescent="0.55000000000000004">
      <c r="A223" s="2" t="s">
        <v>300</v>
      </c>
      <c r="B223">
        <v>1</v>
      </c>
      <c r="C223" s="3">
        <v>2891</v>
      </c>
      <c r="D223" s="3">
        <v>26999</v>
      </c>
      <c r="E223" s="3">
        <v>24108</v>
      </c>
    </row>
    <row r="224" spans="1:5" x14ac:dyDescent="0.55000000000000004">
      <c r="A224" s="2" t="s">
        <v>566</v>
      </c>
      <c r="B224">
        <v>1</v>
      </c>
      <c r="C224" s="3">
        <v>738</v>
      </c>
      <c r="D224" s="3">
        <v>24000</v>
      </c>
      <c r="E224" s="3">
        <v>23262</v>
      </c>
    </row>
    <row r="225" spans="1:5" x14ac:dyDescent="0.55000000000000004">
      <c r="A225" s="2" t="s">
        <v>437</v>
      </c>
      <c r="B225">
        <v>1</v>
      </c>
      <c r="C225" s="3">
        <v>3434</v>
      </c>
      <c r="D225" s="3">
        <v>30999</v>
      </c>
      <c r="E225" s="3">
        <v>27565</v>
      </c>
    </row>
    <row r="226" spans="1:5" x14ac:dyDescent="0.55000000000000004">
      <c r="A226" s="2" t="s">
        <v>552</v>
      </c>
      <c r="B226">
        <v>1</v>
      </c>
      <c r="C226" s="3">
        <v>0</v>
      </c>
      <c r="D226" s="3">
        <v>28000</v>
      </c>
      <c r="E226" s="3">
        <v>28000</v>
      </c>
    </row>
    <row r="227" spans="1:5" x14ac:dyDescent="0.55000000000000004">
      <c r="A227" s="2" t="s">
        <v>196</v>
      </c>
      <c r="B227">
        <v>1</v>
      </c>
      <c r="C227" s="3">
        <v>1611</v>
      </c>
      <c r="D227" s="3">
        <v>21999</v>
      </c>
      <c r="E227" s="3">
        <v>20388</v>
      </c>
    </row>
    <row r="228" spans="1:5" x14ac:dyDescent="0.55000000000000004">
      <c r="A228" s="2" t="s">
        <v>230</v>
      </c>
      <c r="B228">
        <v>1</v>
      </c>
      <c r="C228" s="3">
        <v>0</v>
      </c>
      <c r="D228" s="3">
        <v>21000</v>
      </c>
      <c r="E228" s="3">
        <v>21000</v>
      </c>
    </row>
    <row r="229" spans="1:5" x14ac:dyDescent="0.55000000000000004">
      <c r="A229" s="2" t="s">
        <v>28</v>
      </c>
      <c r="B229">
        <v>1</v>
      </c>
      <c r="C229" s="3">
        <v>2221</v>
      </c>
      <c r="D229" s="3">
        <v>24999</v>
      </c>
      <c r="E229" s="3">
        <v>22778</v>
      </c>
    </row>
    <row r="230" spans="1:5" x14ac:dyDescent="0.55000000000000004">
      <c r="A230" s="2" t="s">
        <v>550</v>
      </c>
      <c r="B230">
        <v>1</v>
      </c>
      <c r="C230" s="3">
        <v>0</v>
      </c>
      <c r="D230" s="3">
        <v>18000</v>
      </c>
      <c r="E230" s="3">
        <v>18000</v>
      </c>
    </row>
    <row r="231" spans="1:5" x14ac:dyDescent="0.55000000000000004">
      <c r="A231" s="2" t="s">
        <v>618</v>
      </c>
      <c r="B231">
        <v>1</v>
      </c>
      <c r="C231" s="3">
        <v>2002</v>
      </c>
      <c r="D231" s="3">
        <v>22000</v>
      </c>
      <c r="E231" s="3">
        <v>19998</v>
      </c>
    </row>
    <row r="232" spans="1:5" x14ac:dyDescent="0.55000000000000004">
      <c r="A232" s="2" t="s">
        <v>148</v>
      </c>
      <c r="B232">
        <v>1</v>
      </c>
      <c r="C232" s="3">
        <v>1916</v>
      </c>
      <c r="D232" s="3">
        <v>29000</v>
      </c>
      <c r="E232" s="3">
        <v>27084</v>
      </c>
    </row>
    <row r="233" spans="1:5" x14ac:dyDescent="0.55000000000000004">
      <c r="A233" s="2" t="s">
        <v>90</v>
      </c>
      <c r="B233">
        <v>1</v>
      </c>
      <c r="C233" s="3">
        <v>0</v>
      </c>
      <c r="D233" s="3">
        <v>21999</v>
      </c>
      <c r="E233" s="3">
        <v>21999</v>
      </c>
    </row>
    <row r="234" spans="1:5" x14ac:dyDescent="0.55000000000000004">
      <c r="A234" s="2" t="s">
        <v>501</v>
      </c>
      <c r="B234">
        <v>1</v>
      </c>
      <c r="C234" s="3">
        <v>5343</v>
      </c>
      <c r="D234" s="3">
        <v>32000</v>
      </c>
      <c r="E234" s="3">
        <v>26657</v>
      </c>
    </row>
    <row r="235" spans="1:5" x14ac:dyDescent="0.55000000000000004">
      <c r="A235" s="2" t="s">
        <v>74</v>
      </c>
      <c r="B235">
        <v>1</v>
      </c>
      <c r="C235" s="3">
        <v>3636</v>
      </c>
      <c r="D235" s="3">
        <v>29999</v>
      </c>
      <c r="E235" s="3">
        <v>26363</v>
      </c>
    </row>
    <row r="236" spans="1:5" x14ac:dyDescent="0.55000000000000004">
      <c r="A236" s="2" t="s">
        <v>19</v>
      </c>
      <c r="B236">
        <v>1</v>
      </c>
      <c r="C236" s="3">
        <v>1903</v>
      </c>
      <c r="D236" s="3">
        <v>29000</v>
      </c>
      <c r="E236" s="3">
        <v>27097</v>
      </c>
    </row>
    <row r="237" spans="1:5" x14ac:dyDescent="0.55000000000000004">
      <c r="A237" s="2" t="s">
        <v>517</v>
      </c>
      <c r="B237">
        <v>1</v>
      </c>
      <c r="C237" s="3">
        <v>0</v>
      </c>
      <c r="D237" s="3">
        <v>19999</v>
      </c>
      <c r="E237" s="3">
        <v>19999</v>
      </c>
    </row>
    <row r="238" spans="1:5" x14ac:dyDescent="0.55000000000000004">
      <c r="A238" s="2" t="s">
        <v>358</v>
      </c>
      <c r="B238">
        <v>1</v>
      </c>
      <c r="C238" s="3">
        <v>0</v>
      </c>
      <c r="D238" s="3">
        <v>27999</v>
      </c>
      <c r="E238" s="3">
        <v>27999</v>
      </c>
    </row>
    <row r="239" spans="1:5" x14ac:dyDescent="0.55000000000000004">
      <c r="A239" s="2" t="s">
        <v>443</v>
      </c>
      <c r="B239">
        <v>1</v>
      </c>
      <c r="C239" s="3">
        <v>2281</v>
      </c>
      <c r="D239" s="3">
        <v>20999</v>
      </c>
      <c r="E239" s="3">
        <v>18718</v>
      </c>
    </row>
    <row r="240" spans="1:5" x14ac:dyDescent="0.55000000000000004">
      <c r="A240" s="2" t="s">
        <v>184</v>
      </c>
      <c r="B240">
        <v>1</v>
      </c>
      <c r="C240" s="3">
        <v>2407</v>
      </c>
      <c r="D240" s="3">
        <v>28999</v>
      </c>
      <c r="E240" s="3">
        <v>26592</v>
      </c>
    </row>
    <row r="241" spans="1:5" x14ac:dyDescent="0.55000000000000004">
      <c r="A241" s="2" t="s">
        <v>374</v>
      </c>
      <c r="B241">
        <v>1</v>
      </c>
      <c r="C241" s="3">
        <v>564</v>
      </c>
      <c r="D241" s="3">
        <v>21999</v>
      </c>
      <c r="E241" s="3">
        <v>21435</v>
      </c>
    </row>
    <row r="242" spans="1:5" x14ac:dyDescent="0.55000000000000004">
      <c r="A242" s="2" t="s">
        <v>270</v>
      </c>
      <c r="B242">
        <v>1</v>
      </c>
      <c r="C242" s="3">
        <v>1101</v>
      </c>
      <c r="D242" s="3">
        <v>24000</v>
      </c>
      <c r="E242" s="3">
        <v>22899</v>
      </c>
    </row>
    <row r="243" spans="1:5" x14ac:dyDescent="0.55000000000000004">
      <c r="A243" s="2" t="s">
        <v>515</v>
      </c>
      <c r="B243">
        <v>1</v>
      </c>
      <c r="C243" s="3">
        <v>2103</v>
      </c>
      <c r="D243" s="3">
        <v>18901</v>
      </c>
      <c r="E243" s="3">
        <v>16798</v>
      </c>
    </row>
    <row r="244" spans="1:5" x14ac:dyDescent="0.55000000000000004">
      <c r="A244" s="2" t="s">
        <v>232</v>
      </c>
      <c r="B244">
        <v>1</v>
      </c>
      <c r="C244" s="3">
        <v>1735</v>
      </c>
      <c r="D244" s="3">
        <v>28000</v>
      </c>
      <c r="E244" s="3">
        <v>26265</v>
      </c>
    </row>
    <row r="245" spans="1:5" x14ac:dyDescent="0.55000000000000004">
      <c r="A245" s="2" t="s">
        <v>100</v>
      </c>
      <c r="B245">
        <v>1</v>
      </c>
      <c r="C245" s="3">
        <v>2797</v>
      </c>
      <c r="D245" s="3">
        <v>31000</v>
      </c>
      <c r="E245" s="3">
        <v>28203</v>
      </c>
    </row>
    <row r="246" spans="1:5" x14ac:dyDescent="0.55000000000000004">
      <c r="A246" s="2" t="s">
        <v>310</v>
      </c>
      <c r="B246">
        <v>1</v>
      </c>
      <c r="C246" s="3">
        <v>4168</v>
      </c>
      <c r="D246" s="3">
        <v>21800</v>
      </c>
      <c r="E246" s="3">
        <v>17632</v>
      </c>
    </row>
    <row r="247" spans="1:5" x14ac:dyDescent="0.55000000000000004">
      <c r="A247" s="2" t="s">
        <v>76</v>
      </c>
      <c r="B247">
        <v>1</v>
      </c>
      <c r="C247" s="3">
        <v>3697</v>
      </c>
      <c r="D247" s="3">
        <v>26999</v>
      </c>
      <c r="E247" s="3">
        <v>23302</v>
      </c>
    </row>
    <row r="248" spans="1:5" x14ac:dyDescent="0.55000000000000004">
      <c r="A248" s="2" t="s">
        <v>626</v>
      </c>
      <c r="B248">
        <v>1</v>
      </c>
      <c r="C248" s="3">
        <v>18698</v>
      </c>
      <c r="D248" s="3">
        <v>74792</v>
      </c>
      <c r="E248" s="3">
        <v>56094</v>
      </c>
    </row>
    <row r="249" spans="1:5" x14ac:dyDescent="0.55000000000000004">
      <c r="A249" s="2" t="s">
        <v>519</v>
      </c>
      <c r="B249">
        <v>1</v>
      </c>
      <c r="C249" s="3">
        <v>3121</v>
      </c>
      <c r="D249" s="3">
        <v>26000</v>
      </c>
      <c r="E249" s="3">
        <v>22879</v>
      </c>
    </row>
    <row r="250" spans="1:5" x14ac:dyDescent="0.55000000000000004">
      <c r="A250" s="2" t="s">
        <v>463</v>
      </c>
      <c r="B250">
        <v>1</v>
      </c>
      <c r="C250" s="3">
        <v>0</v>
      </c>
      <c r="D250" s="3">
        <v>27000</v>
      </c>
      <c r="E250" s="3">
        <v>27000</v>
      </c>
    </row>
    <row r="251" spans="1:5" x14ac:dyDescent="0.55000000000000004">
      <c r="A251" s="2" t="s">
        <v>94</v>
      </c>
      <c r="B251">
        <v>1</v>
      </c>
      <c r="C251" s="3">
        <v>0</v>
      </c>
      <c r="D251" s="3">
        <v>24999</v>
      </c>
      <c r="E251" s="3">
        <v>24999</v>
      </c>
    </row>
    <row r="252" spans="1:5" x14ac:dyDescent="0.55000000000000004">
      <c r="A252" s="2" t="s">
        <v>220</v>
      </c>
      <c r="B252">
        <v>1</v>
      </c>
      <c r="C252" s="3">
        <v>1939</v>
      </c>
      <c r="D252" s="3">
        <v>27999</v>
      </c>
      <c r="E252" s="3">
        <v>26060</v>
      </c>
    </row>
    <row r="253" spans="1:5" x14ac:dyDescent="0.55000000000000004">
      <c r="A253" s="2" t="s">
        <v>126</v>
      </c>
      <c r="B253">
        <v>1</v>
      </c>
      <c r="C253" s="3">
        <v>7712</v>
      </c>
      <c r="D253" s="3">
        <v>38000</v>
      </c>
      <c r="E253" s="3">
        <v>30288</v>
      </c>
    </row>
    <row r="254" spans="1:5" x14ac:dyDescent="0.55000000000000004">
      <c r="A254" s="2" t="s">
        <v>23</v>
      </c>
      <c r="B254">
        <v>1</v>
      </c>
      <c r="C254" s="3">
        <v>0</v>
      </c>
      <c r="D254" s="3">
        <v>20999</v>
      </c>
      <c r="E254" s="3">
        <v>20999</v>
      </c>
    </row>
    <row r="255" spans="1:5" x14ac:dyDescent="0.55000000000000004">
      <c r="A255" s="2" t="s">
        <v>92</v>
      </c>
      <c r="B255">
        <v>1</v>
      </c>
      <c r="C255" s="3">
        <v>2230</v>
      </c>
      <c r="D255" s="3">
        <v>32999</v>
      </c>
      <c r="E255" s="3">
        <v>30769</v>
      </c>
    </row>
    <row r="256" spans="1:5" x14ac:dyDescent="0.55000000000000004">
      <c r="A256" s="2" t="s">
        <v>80</v>
      </c>
      <c r="B256">
        <v>1</v>
      </c>
      <c r="C256" s="3">
        <v>1777</v>
      </c>
      <c r="D256" s="3">
        <v>25000</v>
      </c>
      <c r="E256" s="3">
        <v>23223</v>
      </c>
    </row>
    <row r="257" spans="1:5" x14ac:dyDescent="0.55000000000000004">
      <c r="A257" s="2" t="s">
        <v>110</v>
      </c>
      <c r="B257">
        <v>1</v>
      </c>
      <c r="C257" s="3">
        <v>0</v>
      </c>
      <c r="D257" s="3">
        <v>25999</v>
      </c>
      <c r="E257" s="3">
        <v>25999</v>
      </c>
    </row>
    <row r="258" spans="1:5" x14ac:dyDescent="0.55000000000000004">
      <c r="A258" s="2" t="s">
        <v>433</v>
      </c>
      <c r="B258">
        <v>1</v>
      </c>
      <c r="C258" s="3">
        <v>1560</v>
      </c>
      <c r="D258" s="3">
        <v>20999</v>
      </c>
      <c r="E258" s="3">
        <v>19439</v>
      </c>
    </row>
    <row r="259" spans="1:5" x14ac:dyDescent="0.55000000000000004">
      <c r="A259" s="2" t="s">
        <v>407</v>
      </c>
      <c r="B259">
        <v>1</v>
      </c>
      <c r="C259" s="3">
        <v>1004</v>
      </c>
      <c r="D259" s="3">
        <v>16999</v>
      </c>
      <c r="E259" s="3">
        <v>15995</v>
      </c>
    </row>
    <row r="260" spans="1:5" x14ac:dyDescent="0.55000000000000004">
      <c r="A260" s="2" t="s">
        <v>140</v>
      </c>
      <c r="B260">
        <v>1</v>
      </c>
      <c r="C260" s="3">
        <v>3765</v>
      </c>
      <c r="D260" s="3">
        <v>21999</v>
      </c>
      <c r="E260" s="3">
        <v>18234</v>
      </c>
    </row>
    <row r="261" spans="1:5" x14ac:dyDescent="0.55000000000000004">
      <c r="A261" s="2" t="s">
        <v>391</v>
      </c>
      <c r="B261">
        <v>1</v>
      </c>
      <c r="C261" s="3">
        <v>0</v>
      </c>
      <c r="D261" s="3">
        <v>22999</v>
      </c>
      <c r="E261" s="3">
        <v>22999</v>
      </c>
    </row>
    <row r="262" spans="1:5" x14ac:dyDescent="0.55000000000000004">
      <c r="A262" s="2" t="s">
        <v>427</v>
      </c>
      <c r="B262">
        <v>1</v>
      </c>
      <c r="C262" s="3">
        <v>2295</v>
      </c>
      <c r="D262" s="3">
        <v>21299</v>
      </c>
      <c r="E262" s="3">
        <v>19004</v>
      </c>
    </row>
    <row r="263" spans="1:5" x14ac:dyDescent="0.55000000000000004">
      <c r="A263" s="2" t="s">
        <v>401</v>
      </c>
      <c r="B263">
        <v>1</v>
      </c>
      <c r="C263" s="3">
        <v>1932</v>
      </c>
      <c r="D263" s="3">
        <v>25999</v>
      </c>
      <c r="E263" s="3">
        <v>24067</v>
      </c>
    </row>
    <row r="264" spans="1:5" x14ac:dyDescent="0.55000000000000004">
      <c r="A264" s="2" t="s">
        <v>405</v>
      </c>
      <c r="B264">
        <v>1</v>
      </c>
      <c r="C264" s="3">
        <v>2336</v>
      </c>
      <c r="D264" s="3">
        <v>18350</v>
      </c>
      <c r="E264" s="3">
        <v>16014</v>
      </c>
    </row>
    <row r="265" spans="1:5" x14ac:dyDescent="0.55000000000000004">
      <c r="A265" s="2" t="s">
        <v>70</v>
      </c>
      <c r="B265">
        <v>1</v>
      </c>
      <c r="C265" s="3">
        <v>636</v>
      </c>
      <c r="D265" s="3">
        <v>16999</v>
      </c>
      <c r="E265" s="3">
        <v>16363</v>
      </c>
    </row>
    <row r="266" spans="1:5" x14ac:dyDescent="0.55000000000000004">
      <c r="A266" s="2" t="s">
        <v>590</v>
      </c>
      <c r="B266">
        <v>1</v>
      </c>
      <c r="C266" s="3">
        <v>2365</v>
      </c>
      <c r="D266" s="3">
        <v>21999</v>
      </c>
      <c r="E266" s="3">
        <v>19634</v>
      </c>
    </row>
    <row r="267" spans="1:5" x14ac:dyDescent="0.55000000000000004">
      <c r="A267" s="2" t="s">
        <v>298</v>
      </c>
      <c r="B267">
        <v>1</v>
      </c>
      <c r="C267" s="3">
        <v>2062</v>
      </c>
      <c r="D267" s="3">
        <v>29999</v>
      </c>
      <c r="E267" s="3">
        <v>27937</v>
      </c>
    </row>
    <row r="268" spans="1:5" x14ac:dyDescent="0.55000000000000004">
      <c r="A268" s="2" t="s">
        <v>284</v>
      </c>
      <c r="B268">
        <v>1</v>
      </c>
      <c r="C268" s="3">
        <v>560</v>
      </c>
      <c r="D268" s="3">
        <v>17999</v>
      </c>
      <c r="E268" s="3">
        <v>17439</v>
      </c>
    </row>
    <row r="269" spans="1:5" x14ac:dyDescent="0.55000000000000004">
      <c r="A269" s="2" t="s">
        <v>330</v>
      </c>
      <c r="B269">
        <v>1</v>
      </c>
      <c r="C269" s="3">
        <v>2630</v>
      </c>
      <c r="D269" s="3">
        <v>24999</v>
      </c>
      <c r="E269" s="3">
        <v>22369</v>
      </c>
    </row>
    <row r="270" spans="1:5" x14ac:dyDescent="0.55000000000000004">
      <c r="A270" s="2" t="s">
        <v>170</v>
      </c>
      <c r="B270">
        <v>1</v>
      </c>
      <c r="C270" s="3">
        <v>2488</v>
      </c>
      <c r="D270" s="3">
        <v>22999</v>
      </c>
      <c r="E270" s="3">
        <v>20511</v>
      </c>
    </row>
    <row r="271" spans="1:5" x14ac:dyDescent="0.55000000000000004">
      <c r="A271" s="2" t="s">
        <v>204</v>
      </c>
      <c r="B271">
        <v>1</v>
      </c>
      <c r="C271" s="3">
        <v>752</v>
      </c>
      <c r="D271" s="3">
        <v>16861</v>
      </c>
      <c r="E271" s="3">
        <v>16109</v>
      </c>
    </row>
    <row r="272" spans="1:5" x14ac:dyDescent="0.55000000000000004">
      <c r="A272" s="2" t="s">
        <v>144</v>
      </c>
      <c r="B272">
        <v>1</v>
      </c>
      <c r="C272" s="3">
        <v>1414</v>
      </c>
      <c r="D272" s="3">
        <v>24999</v>
      </c>
      <c r="E272" s="3">
        <v>23585</v>
      </c>
    </row>
    <row r="273" spans="1:5" x14ac:dyDescent="0.55000000000000004">
      <c r="A273" s="2" t="s">
        <v>280</v>
      </c>
      <c r="B273">
        <v>1</v>
      </c>
      <c r="C273" s="3">
        <v>971</v>
      </c>
      <c r="D273" s="3">
        <v>20999</v>
      </c>
      <c r="E273" s="3">
        <v>20028</v>
      </c>
    </row>
    <row r="274" spans="1:5" x14ac:dyDescent="0.55000000000000004">
      <c r="A274" s="2" t="s">
        <v>332</v>
      </c>
      <c r="B274">
        <v>1</v>
      </c>
      <c r="C274" s="3">
        <v>2841</v>
      </c>
      <c r="D274" s="3">
        <v>27999</v>
      </c>
      <c r="E274" s="3">
        <v>25158</v>
      </c>
    </row>
    <row r="275" spans="1:5" x14ac:dyDescent="0.55000000000000004">
      <c r="A275" s="2" t="s">
        <v>278</v>
      </c>
      <c r="B275">
        <v>1</v>
      </c>
      <c r="C275" s="3">
        <v>2119</v>
      </c>
      <c r="D275" s="3">
        <v>26999</v>
      </c>
      <c r="E275" s="3">
        <v>24880</v>
      </c>
    </row>
    <row r="276" spans="1:5" x14ac:dyDescent="0.55000000000000004">
      <c r="A276" s="2" t="s">
        <v>200</v>
      </c>
      <c r="B276">
        <v>1</v>
      </c>
      <c r="C276" s="3">
        <v>2911</v>
      </c>
      <c r="D276" s="3">
        <v>25999</v>
      </c>
      <c r="E276" s="3">
        <v>23088</v>
      </c>
    </row>
    <row r="277" spans="1:5" x14ac:dyDescent="0.55000000000000004">
      <c r="A277" s="2" t="s">
        <v>602</v>
      </c>
      <c r="B277">
        <v>1</v>
      </c>
      <c r="C277" s="3">
        <v>2817</v>
      </c>
      <c r="D277" s="3">
        <v>26999</v>
      </c>
      <c r="E277" s="3">
        <v>24182</v>
      </c>
    </row>
    <row r="278" spans="1:5" x14ac:dyDescent="0.55000000000000004">
      <c r="A278" s="2" t="s">
        <v>475</v>
      </c>
      <c r="B278">
        <v>1</v>
      </c>
      <c r="C278" s="3">
        <v>0</v>
      </c>
      <c r="D278" s="3">
        <v>17999</v>
      </c>
      <c r="E278" s="3">
        <v>17999</v>
      </c>
    </row>
    <row r="279" spans="1:5" x14ac:dyDescent="0.55000000000000004">
      <c r="A279" s="2" t="s">
        <v>387</v>
      </c>
      <c r="B279">
        <v>1</v>
      </c>
      <c r="C279" s="3">
        <v>2575</v>
      </c>
      <c r="D279" s="3">
        <v>25999</v>
      </c>
      <c r="E279" s="3">
        <v>23424</v>
      </c>
    </row>
    <row r="280" spans="1:5" x14ac:dyDescent="0.55000000000000004">
      <c r="A280" s="2" t="s">
        <v>612</v>
      </c>
      <c r="B280">
        <v>1</v>
      </c>
      <c r="C280" s="3">
        <v>2340</v>
      </c>
      <c r="D280" s="3">
        <v>20999</v>
      </c>
      <c r="E280" s="3">
        <v>18659</v>
      </c>
    </row>
    <row r="281" spans="1:5" x14ac:dyDescent="0.55000000000000004">
      <c r="A281" s="2" t="s">
        <v>218</v>
      </c>
      <c r="B281">
        <v>1</v>
      </c>
      <c r="C281" s="3">
        <v>3950</v>
      </c>
      <c r="D281" s="3">
        <v>27999</v>
      </c>
      <c r="E281" s="3">
        <v>24049</v>
      </c>
    </row>
    <row r="282" spans="1:5" x14ac:dyDescent="0.55000000000000004">
      <c r="A282" s="2" t="s">
        <v>554</v>
      </c>
      <c r="B282">
        <v>1</v>
      </c>
      <c r="C282" s="3">
        <v>999</v>
      </c>
      <c r="D282" s="3">
        <v>17999</v>
      </c>
      <c r="E282" s="3">
        <v>17000</v>
      </c>
    </row>
    <row r="283" spans="1:5" x14ac:dyDescent="0.55000000000000004">
      <c r="A283" s="2" t="s">
        <v>356</v>
      </c>
      <c r="B283">
        <v>1</v>
      </c>
      <c r="C283" s="3">
        <v>0</v>
      </c>
      <c r="D283" s="3">
        <v>23999</v>
      </c>
      <c r="E283" s="3">
        <v>23999</v>
      </c>
    </row>
    <row r="284" spans="1:5" x14ac:dyDescent="0.55000000000000004">
      <c r="A284" s="2" t="s">
        <v>568</v>
      </c>
      <c r="B284">
        <v>1</v>
      </c>
      <c r="C284" s="3">
        <v>0</v>
      </c>
      <c r="D284" s="3">
        <v>17999</v>
      </c>
      <c r="E284" s="3">
        <v>17999</v>
      </c>
    </row>
    <row r="285" spans="1:5" x14ac:dyDescent="0.55000000000000004">
      <c r="A285" s="2" t="s">
        <v>286</v>
      </c>
      <c r="B285">
        <v>1</v>
      </c>
      <c r="C285" s="3">
        <v>1219</v>
      </c>
      <c r="D285" s="3">
        <v>19999</v>
      </c>
      <c r="E285" s="3">
        <v>18780</v>
      </c>
    </row>
    <row r="286" spans="1:5" x14ac:dyDescent="0.55000000000000004">
      <c r="A286" s="2" t="s">
        <v>338</v>
      </c>
      <c r="B286">
        <v>1</v>
      </c>
      <c r="C286" s="3">
        <v>1001</v>
      </c>
      <c r="D286" s="3">
        <v>21999</v>
      </c>
      <c r="E286" s="3">
        <v>20998</v>
      </c>
    </row>
    <row r="287" spans="1:5" x14ac:dyDescent="0.55000000000000004">
      <c r="A287" s="2" t="s">
        <v>459</v>
      </c>
      <c r="B287">
        <v>1</v>
      </c>
      <c r="C287" s="3">
        <v>3916</v>
      </c>
      <c r="D287" s="3">
        <v>36999</v>
      </c>
      <c r="E287" s="3">
        <v>33083</v>
      </c>
    </row>
    <row r="288" spans="1:5" x14ac:dyDescent="0.55000000000000004">
      <c r="A288" s="2" t="s">
        <v>608</v>
      </c>
      <c r="B288">
        <v>1</v>
      </c>
      <c r="C288" s="3">
        <v>927</v>
      </c>
      <c r="D288" s="3">
        <v>18000</v>
      </c>
      <c r="E288" s="3">
        <v>17073</v>
      </c>
    </row>
    <row r="289" spans="1:5" x14ac:dyDescent="0.55000000000000004">
      <c r="A289" s="2" t="s">
        <v>156</v>
      </c>
      <c r="B289">
        <v>1</v>
      </c>
      <c r="C289" s="3">
        <v>3850</v>
      </c>
      <c r="D289" s="3">
        <v>19999</v>
      </c>
      <c r="E289" s="3">
        <v>16149</v>
      </c>
    </row>
    <row r="290" spans="1:5" x14ac:dyDescent="0.55000000000000004">
      <c r="A290" s="2" t="s">
        <v>292</v>
      </c>
      <c r="B290">
        <v>1</v>
      </c>
      <c r="C290" s="3">
        <v>1271</v>
      </c>
      <c r="D290" s="3">
        <v>18999</v>
      </c>
      <c r="E290" s="3">
        <v>17728</v>
      </c>
    </row>
    <row r="291" spans="1:5" x14ac:dyDescent="0.55000000000000004">
      <c r="A291" s="2" t="s">
        <v>393</v>
      </c>
      <c r="B291">
        <v>1</v>
      </c>
      <c r="C291" s="3">
        <v>0</v>
      </c>
      <c r="D291" s="3">
        <v>25999</v>
      </c>
      <c r="E291" s="3">
        <v>25999</v>
      </c>
    </row>
    <row r="292" spans="1:5" x14ac:dyDescent="0.55000000000000004">
      <c r="A292" s="2" t="s">
        <v>399</v>
      </c>
      <c r="B292">
        <v>1</v>
      </c>
      <c r="C292" s="3">
        <v>3767</v>
      </c>
      <c r="D292" s="3">
        <v>30999</v>
      </c>
      <c r="E292" s="3">
        <v>27232</v>
      </c>
    </row>
    <row r="293" spans="1:5" x14ac:dyDescent="0.55000000000000004">
      <c r="A293" s="2" t="s">
        <v>288</v>
      </c>
      <c r="B293">
        <v>1</v>
      </c>
      <c r="C293" s="3">
        <v>1241</v>
      </c>
      <c r="D293" s="3">
        <v>20999</v>
      </c>
      <c r="E293" s="3">
        <v>19758</v>
      </c>
    </row>
    <row r="294" spans="1:5" x14ac:dyDescent="0.55000000000000004">
      <c r="A294" s="2" t="s">
        <v>465</v>
      </c>
      <c r="B294">
        <v>1</v>
      </c>
      <c r="C294" s="3">
        <v>2001</v>
      </c>
      <c r="D294" s="3">
        <v>16999</v>
      </c>
      <c r="E294" s="3">
        <v>14998</v>
      </c>
    </row>
    <row r="295" spans="1:5" x14ac:dyDescent="0.55000000000000004">
      <c r="A295" s="2" t="s">
        <v>244</v>
      </c>
      <c r="B295">
        <v>1</v>
      </c>
      <c r="C295" s="3">
        <v>2539</v>
      </c>
      <c r="D295" s="3">
        <v>24999</v>
      </c>
      <c r="E295" s="3">
        <v>22460</v>
      </c>
    </row>
    <row r="296" spans="1:5" x14ac:dyDescent="0.55000000000000004">
      <c r="A296" s="2" t="s">
        <v>425</v>
      </c>
      <c r="B296">
        <v>1</v>
      </c>
      <c r="C296" s="3">
        <v>1130</v>
      </c>
      <c r="D296" s="3">
        <v>19999</v>
      </c>
      <c r="E296" s="3">
        <v>18869</v>
      </c>
    </row>
    <row r="297" spans="1:5" x14ac:dyDescent="0.55000000000000004">
      <c r="A297" s="2" t="s">
        <v>578</v>
      </c>
      <c r="B297">
        <v>1</v>
      </c>
      <c r="C297" s="3">
        <v>4089</v>
      </c>
      <c r="D297" s="3">
        <v>25999</v>
      </c>
      <c r="E297" s="3">
        <v>21910</v>
      </c>
    </row>
    <row r="298" spans="1:5" x14ac:dyDescent="0.55000000000000004">
      <c r="A298" s="2" t="s">
        <v>628</v>
      </c>
      <c r="B298">
        <v>1</v>
      </c>
      <c r="C298" s="3">
        <v>1312</v>
      </c>
      <c r="D298" s="3">
        <v>22999</v>
      </c>
      <c r="E298" s="3">
        <v>21687</v>
      </c>
    </row>
    <row r="299" spans="1:5" x14ac:dyDescent="0.55000000000000004">
      <c r="A299" s="2" t="s">
        <v>174</v>
      </c>
      <c r="B299">
        <v>1</v>
      </c>
      <c r="C299" s="3">
        <v>3391</v>
      </c>
      <c r="D299" s="3">
        <v>30000</v>
      </c>
      <c r="E299" s="3">
        <v>26609</v>
      </c>
    </row>
    <row r="300" spans="1:5" x14ac:dyDescent="0.55000000000000004">
      <c r="A300" s="2" t="s">
        <v>403</v>
      </c>
      <c r="B300">
        <v>1</v>
      </c>
      <c r="C300" s="3">
        <v>3068</v>
      </c>
      <c r="D300" s="3">
        <v>22999</v>
      </c>
      <c r="E300" s="3">
        <v>19931</v>
      </c>
    </row>
    <row r="301" spans="1:5" x14ac:dyDescent="0.55000000000000004">
      <c r="A301" s="2" t="s">
        <v>535</v>
      </c>
      <c r="B301">
        <v>1</v>
      </c>
      <c r="C301" s="3">
        <v>0</v>
      </c>
      <c r="D301" s="3">
        <v>18999</v>
      </c>
      <c r="E301" s="3">
        <v>18999</v>
      </c>
    </row>
    <row r="302" spans="1:5" x14ac:dyDescent="0.55000000000000004">
      <c r="A302" s="2" t="s">
        <v>224</v>
      </c>
      <c r="B302">
        <v>1</v>
      </c>
      <c r="C302" s="3">
        <v>1066</v>
      </c>
      <c r="D302" s="3">
        <v>19999</v>
      </c>
      <c r="E302" s="3">
        <v>18933</v>
      </c>
    </row>
    <row r="303" spans="1:5" x14ac:dyDescent="0.55000000000000004">
      <c r="A303" s="2" t="s">
        <v>192</v>
      </c>
      <c r="B303">
        <v>1</v>
      </c>
      <c r="C303" s="3">
        <v>2582</v>
      </c>
      <c r="D303" s="3">
        <v>24999</v>
      </c>
      <c r="E303" s="3">
        <v>22417</v>
      </c>
    </row>
    <row r="304" spans="1:5" x14ac:dyDescent="0.55000000000000004">
      <c r="A304" s="2" t="s">
        <v>314</v>
      </c>
      <c r="B304">
        <v>1</v>
      </c>
      <c r="C304" s="3">
        <v>3754</v>
      </c>
      <c r="D304" s="3">
        <v>21999</v>
      </c>
      <c r="E304" s="3">
        <v>18245</v>
      </c>
    </row>
    <row r="305" spans="1:5" x14ac:dyDescent="0.55000000000000004">
      <c r="A305" s="2" t="s">
        <v>533</v>
      </c>
      <c r="B305">
        <v>1</v>
      </c>
      <c r="C305" s="3">
        <v>0</v>
      </c>
      <c r="D305" s="3">
        <v>25999</v>
      </c>
      <c r="E305" s="3">
        <v>25999</v>
      </c>
    </row>
    <row r="306" spans="1:5" x14ac:dyDescent="0.55000000000000004">
      <c r="A306" s="2" t="s">
        <v>606</v>
      </c>
      <c r="B306">
        <v>1</v>
      </c>
      <c r="C306" s="3">
        <v>0</v>
      </c>
      <c r="D306" s="3">
        <v>20999</v>
      </c>
      <c r="E306" s="3">
        <v>20999</v>
      </c>
    </row>
    <row r="307" spans="1:5" x14ac:dyDescent="0.55000000000000004">
      <c r="A307" s="2" t="s">
        <v>366</v>
      </c>
      <c r="B307">
        <v>1</v>
      </c>
      <c r="C307" s="3">
        <v>2099</v>
      </c>
      <c r="D307" s="3">
        <v>25999</v>
      </c>
      <c r="E307" s="3">
        <v>23900</v>
      </c>
    </row>
    <row r="308" spans="1:5" x14ac:dyDescent="0.55000000000000004">
      <c r="A308" s="2" t="s">
        <v>324</v>
      </c>
      <c r="B308">
        <v>1</v>
      </c>
      <c r="C308" s="3">
        <v>1935</v>
      </c>
      <c r="D308" s="3">
        <v>21999</v>
      </c>
      <c r="E308" s="3">
        <v>20064</v>
      </c>
    </row>
    <row r="309" spans="1:5" x14ac:dyDescent="0.55000000000000004">
      <c r="A309" s="2" t="s">
        <v>594</v>
      </c>
      <c r="B309">
        <v>1</v>
      </c>
      <c r="C309" s="3">
        <v>2190</v>
      </c>
      <c r="D309" s="3">
        <v>16999</v>
      </c>
      <c r="E309" s="3">
        <v>14809</v>
      </c>
    </row>
    <row r="310" spans="1:5" x14ac:dyDescent="0.55000000000000004">
      <c r="A310" s="2" t="s">
        <v>266</v>
      </c>
      <c r="B310">
        <v>1</v>
      </c>
      <c r="C310" s="3">
        <v>3196</v>
      </c>
      <c r="D310" s="3">
        <v>20999</v>
      </c>
      <c r="E310" s="3">
        <v>17803</v>
      </c>
    </row>
    <row r="311" spans="1:5" x14ac:dyDescent="0.55000000000000004">
      <c r="A311" s="2" t="s">
        <v>636</v>
      </c>
      <c r="B311">
        <v>318</v>
      </c>
      <c r="C311" s="3">
        <v>594816</v>
      </c>
      <c r="D311" s="3">
        <v>7683517</v>
      </c>
      <c r="E311" s="3">
        <v>7088701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DD406-FD40-4303-9ED2-F8E0D3BD5247}">
  <dimension ref="A1:M14"/>
  <sheetViews>
    <sheetView workbookViewId="0">
      <selection activeCell="A14" sqref="A14"/>
    </sheetView>
  </sheetViews>
  <sheetFormatPr defaultRowHeight="14.4" x14ac:dyDescent="0.55000000000000004"/>
  <sheetData>
    <row r="1" spans="1:1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639</v>
      </c>
      <c r="M1" t="s">
        <v>646</v>
      </c>
    </row>
    <row r="2" spans="1:13" x14ac:dyDescent="0.55000000000000004">
      <c r="B2" t="s">
        <v>643</v>
      </c>
      <c r="C2" t="s">
        <v>644</v>
      </c>
      <c r="D2" t="s">
        <v>645</v>
      </c>
      <c r="F2" t="s">
        <v>643</v>
      </c>
      <c r="M2" t="s">
        <v>647</v>
      </c>
    </row>
    <row r="3" spans="1:13" x14ac:dyDescent="0.55000000000000004">
      <c r="B3" t="s">
        <v>648</v>
      </c>
      <c r="C3" t="s">
        <v>644</v>
      </c>
      <c r="D3" t="s">
        <v>645</v>
      </c>
      <c r="F3" t="s">
        <v>648</v>
      </c>
      <c r="M3" t="s">
        <v>647</v>
      </c>
    </row>
    <row r="4" spans="1:13" x14ac:dyDescent="0.55000000000000004">
      <c r="B4" t="s">
        <v>649</v>
      </c>
      <c r="C4" t="s">
        <v>644</v>
      </c>
      <c r="D4" t="s">
        <v>645</v>
      </c>
      <c r="F4" t="s">
        <v>649</v>
      </c>
      <c r="M4" t="s">
        <v>647</v>
      </c>
    </row>
    <row r="5" spans="1:13" x14ac:dyDescent="0.55000000000000004">
      <c r="B5" t="s">
        <v>650</v>
      </c>
      <c r="C5" t="s">
        <v>644</v>
      </c>
      <c r="D5" t="s">
        <v>645</v>
      </c>
      <c r="F5" t="s">
        <v>650</v>
      </c>
      <c r="M5" t="s">
        <v>647</v>
      </c>
    </row>
    <row r="6" spans="1:13" x14ac:dyDescent="0.55000000000000004">
      <c r="B6" t="s">
        <v>651</v>
      </c>
      <c r="C6" t="s">
        <v>644</v>
      </c>
      <c r="D6" t="s">
        <v>645</v>
      </c>
      <c r="F6" t="s">
        <v>651</v>
      </c>
      <c r="M6" t="s">
        <v>657</v>
      </c>
    </row>
    <row r="7" spans="1:13" x14ac:dyDescent="0.55000000000000004">
      <c r="B7" t="s">
        <v>652</v>
      </c>
      <c r="C7" t="s">
        <v>644</v>
      </c>
      <c r="D7" t="s">
        <v>645</v>
      </c>
      <c r="F7" t="s">
        <v>652</v>
      </c>
      <c r="M7" t="s">
        <v>657</v>
      </c>
    </row>
    <row r="8" spans="1:13" x14ac:dyDescent="0.55000000000000004">
      <c r="B8" t="s">
        <v>653</v>
      </c>
      <c r="C8" t="s">
        <v>644</v>
      </c>
      <c r="D8" t="s">
        <v>645</v>
      </c>
      <c r="F8" t="s">
        <v>653</v>
      </c>
      <c r="M8" t="s">
        <v>647</v>
      </c>
    </row>
    <row r="9" spans="1:13" x14ac:dyDescent="0.55000000000000004">
      <c r="B9" t="s">
        <v>654</v>
      </c>
      <c r="C9" t="s">
        <v>644</v>
      </c>
      <c r="D9" t="s">
        <v>645</v>
      </c>
      <c r="F9" t="s">
        <v>654</v>
      </c>
      <c r="M9" t="s">
        <v>647</v>
      </c>
    </row>
    <row r="10" spans="1:13" x14ac:dyDescent="0.55000000000000004">
      <c r="B10" t="s">
        <v>655</v>
      </c>
      <c r="C10" t="s">
        <v>644</v>
      </c>
      <c r="D10" t="s">
        <v>645</v>
      </c>
      <c r="F10" t="s">
        <v>655</v>
      </c>
      <c r="M10" t="s">
        <v>656</v>
      </c>
    </row>
    <row r="14" spans="1:13" x14ac:dyDescent="0.55000000000000004">
      <c r="A14" t="s">
        <v>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PIN-Class Count</vt:lpstr>
      <vt:lpstr>Appeal Status</vt:lpstr>
      <vt:lpstr>Keypins</vt:lpstr>
      <vt:lpstr>rejected_appeals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Smith (Board of Review)</dc:creator>
  <cp:lastModifiedBy>Wilbur, Alea</cp:lastModifiedBy>
  <dcterms:created xsi:type="dcterms:W3CDTF">2024-03-07T22:10:11Z</dcterms:created>
  <dcterms:modified xsi:type="dcterms:W3CDTF">2024-03-27T04:03:46Z</dcterms:modified>
</cp:coreProperties>
</file>